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74.xml"/>
  <Override ContentType="application/vnd.openxmlformats-officedocument.spreadsheetml.table+xml" PartName="/xl/tables/table5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75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78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77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63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79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71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72.xml"/>
  <Override ContentType="application/vnd.openxmlformats-officedocument.spreadsheetml.table+xml" PartName="/xl/tables/table60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ICING PLANTILLA" sheetId="1" r:id="rId5"/>
    <sheet state="visible" name="Parámetros" sheetId="2" r:id="rId6"/>
    <sheet state="visible" name="Política de Servidores" sheetId="3" r:id="rId7"/>
    <sheet state="visible" name="Política Comisiones" sheetId="4" r:id="rId8"/>
    <sheet state="visible" name="Foward Deployed Enginnier" sheetId="5" r:id="rId9"/>
    <sheet state="visible" name="Equipo Base" sheetId="6" r:id="rId10"/>
    <sheet state="visible" name="Equipo con UX" sheetId="7" r:id="rId11"/>
    <sheet state="visible" name="Equipo UX + Pm" sheetId="8" r:id="rId12"/>
    <sheet state="visible" name="Equipo dos FDE" sheetId="9" r:id="rId13"/>
    <sheet state="visible" name="Sprint MVP" sheetId="10" r:id="rId14"/>
    <sheet state="hidden" name="Copy of PRICING PLANTILLA  6" sheetId="11" r:id="rId15"/>
    <sheet state="hidden" name=" PRICING PLANTILLA  Itempo Equi" sheetId="12" r:id="rId16"/>
    <sheet state="hidden" name="Copy of PRICING PLANTILLA  5" sheetId="13" r:id="rId17"/>
    <sheet state="hidden" name="Copy of PRICING PLANTILLA  4" sheetId="14" r:id="rId18"/>
    <sheet state="hidden" name="Copy of PRICING PLANTILLA  3" sheetId="15" r:id="rId19"/>
    <sheet state="hidden" name="Copy of PRICING PLANTILLA  2" sheetId="16" r:id="rId20"/>
    <sheet state="hidden" name="Copy of Copy of PRICING PLANTIL" sheetId="17" r:id="rId21"/>
    <sheet state="hidden" name="PRICING PLANTILLA  2" sheetId="18" r:id="rId22"/>
    <sheet state="hidden" name="Copy of PRICING PLANTILLA  1" sheetId="19" r:id="rId23"/>
    <sheet state="hidden" name="Copy of PRICING PLANTILLA " sheetId="20" r:id="rId24"/>
    <sheet state="hidden" name="Personas ROP" sheetId="21" r:id="rId25"/>
    <sheet state="hidden" name="Nueva Plantilla" sheetId="22" r:id="rId26"/>
    <sheet state="hidden" name="Sheet6" sheetId="23" r:id="rId27"/>
    <sheet state="hidden" name="Copy of PRICING PLANTILLA" sheetId="24" r:id="rId28"/>
    <sheet state="hidden" name="Copy Pricing " sheetId="25" r:id="rId29"/>
  </sheets>
  <definedNames/>
  <calcPr/>
  <pivotCaches>
    <pivotCache cacheId="0" r:id="rId30"/>
  </pivotCaches>
</workbook>
</file>

<file path=xl/sharedStrings.xml><?xml version="1.0" encoding="utf-8"?>
<sst xmlns="http://schemas.openxmlformats.org/spreadsheetml/2006/main" count="1518" uniqueCount="262">
  <si>
    <t>Herramienta Pricing</t>
  </si>
  <si>
    <t>Código:</t>
  </si>
  <si>
    <t>FO - FI - 03</t>
  </si>
  <si>
    <t>Versión:</t>
  </si>
  <si>
    <t>Fecha de emisión:</t>
  </si>
  <si>
    <t>*Todos los meses cambiar el # de personas actuales - Ojo!</t>
  </si>
  <si>
    <t>Comisión Venta</t>
  </si>
  <si>
    <t>Jugar con Gross Margin</t>
  </si>
  <si>
    <t>PV COP</t>
  </si>
  <si>
    <t>Gross Margin</t>
  </si>
  <si>
    <t>PV USD</t>
  </si>
  <si>
    <t>Resumen</t>
  </si>
  <si>
    <t>Imp. Renta</t>
  </si>
  <si>
    <t>Horas</t>
  </si>
  <si>
    <t>Costo Equipo</t>
  </si>
  <si>
    <t xml:space="preserve"> ICA</t>
  </si>
  <si>
    <t>USD/Horas</t>
  </si>
  <si>
    <t>Costo + Gasto Fijo</t>
  </si>
  <si>
    <t>NET Margin</t>
  </si>
  <si>
    <t>Computador Herramientas Trabajo</t>
  </si>
  <si>
    <t>- ROP Gasto</t>
  </si>
  <si>
    <t>- ROP Costo Fijo</t>
  </si>
  <si>
    <t>Jugar con Net Margin</t>
  </si>
  <si>
    <t>T. C + G Equipo</t>
  </si>
  <si>
    <t>Comisión Bruta</t>
  </si>
  <si>
    <t>¿Tipo de contrato vendedor?</t>
  </si>
  <si>
    <t>Prestación de Servicios</t>
  </si>
  <si>
    <t>Comisión Total</t>
  </si>
  <si>
    <t>¿Pago con TC?</t>
  </si>
  <si>
    <t>Proyectado</t>
  </si>
  <si>
    <t>¿Staff Augmentation?</t>
  </si>
  <si>
    <t>Equipo</t>
  </si>
  <si>
    <t>Salario Base</t>
  </si>
  <si>
    <t>Tipo Contrato</t>
  </si>
  <si>
    <t>Costo Total</t>
  </si>
  <si>
    <t>Dedicación</t>
  </si>
  <si>
    <t>Costo Final</t>
  </si>
  <si>
    <t>% Tiempo Equipo</t>
  </si>
  <si>
    <t>% Costo Equipo</t>
  </si>
  <si>
    <t>PV (USD)</t>
  </si>
  <si>
    <t>Software Developer Junior Nivel 1</t>
  </si>
  <si>
    <t>Nómina</t>
  </si>
  <si>
    <t>Project Analyst Junior</t>
  </si>
  <si>
    <t>Diseñador Junior</t>
  </si>
  <si>
    <t>COP</t>
  </si>
  <si>
    <t>USD</t>
  </si>
  <si>
    <t>Pricing</t>
  </si>
  <si>
    <t>Perfil</t>
  </si>
  <si>
    <t>Capacidad Horas</t>
  </si>
  <si>
    <t>Precio COP</t>
  </si>
  <si>
    <t>Precio x Hora</t>
  </si>
  <si>
    <t>Precio USD</t>
  </si>
  <si>
    <t>Total</t>
  </si>
  <si>
    <t>Salario</t>
  </si>
  <si>
    <t>Costo Empresa</t>
  </si>
  <si>
    <t>Forward Deployed Product manager</t>
  </si>
  <si>
    <t>Parámetros</t>
  </si>
  <si>
    <t>DevOps Engineer Senior</t>
  </si>
  <si>
    <t>TRM</t>
  </si>
  <si>
    <t>Forward Deployed Enginnier</t>
  </si>
  <si>
    <t>Bolsa</t>
  </si>
  <si>
    <t>Gastos Fijos</t>
  </si>
  <si>
    <t>Costos</t>
  </si>
  <si>
    <t># Proyectos x Pod</t>
  </si>
  <si>
    <t>Forward Deployed Pruduct experience</t>
  </si>
  <si>
    <t>Diciembre</t>
  </si>
  <si>
    <t>ICA</t>
  </si>
  <si>
    <t>Mes</t>
  </si>
  <si>
    <t>Average</t>
  </si>
  <si>
    <t>Tech Leald Orchestaror</t>
  </si>
  <si>
    <t>Enero</t>
  </si>
  <si>
    <t>Renta</t>
  </si>
  <si>
    <t>2026-Feb</t>
  </si>
  <si>
    <t>2022-Apr</t>
  </si>
  <si>
    <t>QA Engineer Semi Senior</t>
  </si>
  <si>
    <t>Febrero</t>
  </si>
  <si>
    <t>Face Value Comisión</t>
  </si>
  <si>
    <t>2026-Mar</t>
  </si>
  <si>
    <t>2022-May</t>
  </si>
  <si>
    <t>Software Developer Semi Senior Nivel 1</t>
  </si>
  <si>
    <t>Marzo</t>
  </si>
  <si>
    <t>Comisión TC</t>
  </si>
  <si>
    <t>Software Developer Semi Senior Nivel 2</t>
  </si>
  <si>
    <t>Abril</t>
  </si>
  <si>
    <t>Comisión 2</t>
  </si>
  <si>
    <t>Grand Total</t>
  </si>
  <si>
    <t>Software Developer Senior Nivel 1</t>
  </si>
  <si>
    <t>Mayo</t>
  </si>
  <si>
    <t>Software Developer Senior Nivel 2</t>
  </si>
  <si>
    <t>Forward Deployed Enginnier - On Site</t>
  </si>
  <si>
    <t>Linea de Negocio</t>
  </si>
  <si>
    <t>TC. Real</t>
  </si>
  <si>
    <t>Margen Bruto</t>
  </si>
  <si>
    <t>Network</t>
  </si>
  <si>
    <t>Equipo Dedicado</t>
  </si>
  <si>
    <t>Descubrimiento</t>
  </si>
  <si>
    <t>Proyecto</t>
  </si>
  <si>
    <t xml:space="preserve">Servidores </t>
  </si>
  <si>
    <t>Enterprise</t>
  </si>
  <si>
    <t>Renting</t>
  </si>
  <si>
    <t>Tecnologias</t>
  </si>
  <si>
    <t>Angular</t>
  </si>
  <si>
    <t>Vue</t>
  </si>
  <si>
    <t>Flutter</t>
  </si>
  <si>
    <t>Node Js</t>
  </si>
  <si>
    <t>Fullstack</t>
  </si>
  <si>
    <t>Fullstack Spring- Java</t>
  </si>
  <si>
    <t>Net Core</t>
  </si>
  <si>
    <t>Angular js</t>
  </si>
  <si>
    <t>Sql Server</t>
  </si>
  <si>
    <t>PHP</t>
  </si>
  <si>
    <t>Fullstack Python</t>
  </si>
  <si>
    <t>QA (Iphone)</t>
  </si>
  <si>
    <t>QA (Android)</t>
  </si>
  <si>
    <t>COmputador y celular (1, 0 o 2)</t>
  </si>
  <si>
    <t>Restricciones compra de computadores</t>
  </si>
  <si>
    <t>Mensual</t>
  </si>
  <si>
    <t>Valor Contrato</t>
  </si>
  <si>
    <t>Primera condicion</t>
  </si>
  <si>
    <t>Segunda restriccion</t>
  </si>
  <si>
    <t>Considerar como mínimo por cada Dev: 
 PM:33%, QA:20%, Diseño:10%</t>
  </si>
  <si>
    <t xml:space="preserve">- Si el despliegue es en servidor Imagine: Despliegue sin costo pero mensualidad entre 25 - 50 usd* x plataforma (App o Web)- </t>
  </si>
  <si>
    <t>*Precio promedio, sujeto al consumo real, en caso de tener un consumo mayor se realizará el cobro real, adicional al servicio de administración que corresponde al 25% del consumo.</t>
  </si>
  <si>
    <t>Precio por instancia, ej: si tienen instancia de pruebas es $25 + producción $25. Y la de pruebas no la debemos cobrar si están pagando equipo dedicado</t>
  </si>
  <si>
    <t>- Si se despliega en un servidor del cliente: En el pricing debe contemplarse un 12.5% de devops.</t>
  </si>
  <si>
    <t>- Si inicialmente se despliega en un servidor de Imagine y se migra al del cliente: requerimos 3 días hábiles y tendrá un costo aproximado de 1.500 USD (se confirma con cotización específica del despliegue)</t>
  </si>
  <si>
    <t>- Sujeto a configuraciones y parámetros a configurar en el servidor externo</t>
  </si>
  <si>
    <t>- Si migra de un servidor externo a Imagine, el tiempo será de 3 días hábiles y tendrá un costo aproximado de 1.500 USD (se confirma con cotización específica del despliegue)</t>
  </si>
  <si>
    <t>Esquema de comisiones:</t>
  </si>
  <si>
    <t>Comisiones</t>
  </si>
  <si>
    <t>Referido</t>
  </si>
  <si>
    <t>KAM</t>
  </si>
  <si>
    <t>Fuente lead</t>
  </si>
  <si>
    <t>Mercadeo</t>
  </si>
  <si>
    <t>Directo</t>
  </si>
  <si>
    <t>Referido Imagine</t>
  </si>
  <si>
    <t>Network- Cold Calling</t>
  </si>
  <si>
    <t>Cold Calling / Mailing</t>
  </si>
  <si>
    <t>Definiciones</t>
  </si>
  <si>
    <t>Lisseth Carhuapoma</t>
  </si>
  <si>
    <t>Venta directa del comercial</t>
  </si>
  <si>
    <t>Personal de Imagine que ayuda a la obtención de una venta.</t>
  </si>
  <si>
    <t>Network - Cold Calling</t>
  </si>
  <si>
    <t>Personal comercial que ayuda a la obtención de una venta.</t>
  </si>
  <si>
    <t>Esquema de bonos de reclutamiento:</t>
  </si>
  <si>
    <t>Seniority</t>
  </si>
  <si>
    <t>Bono</t>
  </si>
  <si>
    <t>Perfil Semi Sr.</t>
  </si>
  <si>
    <t>Perfil Sr.</t>
  </si>
  <si>
    <t>Perdil Junior</t>
  </si>
  <si>
    <t>Línea de Negocio</t>
  </si>
  <si>
    <t>Deel/Ontop</t>
  </si>
  <si>
    <t>Comisión vendedor</t>
  </si>
  <si>
    <t>¿Cuál es la fuente de tu lead?</t>
  </si>
  <si>
    <t>Perfil Network</t>
  </si>
  <si>
    <t>Gross Margin Meta</t>
  </si>
  <si>
    <t>Factoring</t>
  </si>
  <si>
    <t>Tecnologia</t>
  </si>
  <si>
    <t>Tiempo Duración: Mes</t>
  </si>
  <si>
    <t>Precio Total</t>
  </si>
  <si>
    <t>Precio mensual</t>
  </si>
  <si>
    <t>Precio/Horas</t>
  </si>
  <si>
    <t>12 horas</t>
  </si>
  <si>
    <t>20 horas</t>
  </si>
  <si>
    <t>Costo mensual</t>
  </si>
  <si>
    <t>Costo total</t>
  </si>
  <si>
    <t>P. Servicios</t>
  </si>
  <si>
    <t>Validación</t>
  </si>
  <si>
    <t>Costo Total Interno Compañía</t>
  </si>
  <si>
    <t>dias</t>
  </si>
  <si>
    <t>Perfil Semi senior</t>
  </si>
  <si>
    <t>Java SpringBoot</t>
  </si>
  <si>
    <t>Project Analyst Senior</t>
  </si>
  <si>
    <t>Diseñador Semi Senior</t>
  </si>
  <si>
    <t>Precio por mes COP 51´600.000, total inversión 6 meses COP 309´600.000</t>
  </si>
  <si>
    <t>Q</t>
  </si>
  <si>
    <t xml:space="preserve">Project Analyst </t>
  </si>
  <si>
    <t xml:space="preserve">Software Developer </t>
  </si>
  <si>
    <t xml:space="preserve">QA Engineer </t>
  </si>
  <si>
    <t xml:space="preserve">Diseñador </t>
  </si>
  <si>
    <t>Lider Técnico</t>
  </si>
  <si>
    <t>Master Data</t>
  </si>
  <si>
    <t>Infrastructure Engineer Senior</t>
  </si>
  <si>
    <t>Maria Paula Giraldo Castiblanco</t>
  </si>
  <si>
    <t>QA Engineer Junior</t>
  </si>
  <si>
    <t>Trm: 4,707.65</t>
  </si>
  <si>
    <t>Costo</t>
  </si>
  <si>
    <t>Precio</t>
  </si>
  <si>
    <t>Margen</t>
  </si>
  <si>
    <t>Miguel Palacios</t>
  </si>
  <si>
    <t>Daniela Rocha</t>
  </si>
  <si>
    <t>Juan Rojas</t>
  </si>
  <si>
    <t>Miguel Oswaldo Palacios Mosquera</t>
  </si>
  <si>
    <t>Ingreso</t>
  </si>
  <si>
    <t>PV Total</t>
  </si>
  <si>
    <t>PV mensual</t>
  </si>
  <si>
    <t>Utilidad Bruta</t>
  </si>
  <si>
    <t>Pv/Horas</t>
  </si>
  <si>
    <t>Comision</t>
  </si>
  <si>
    <t>Gasto fijo</t>
  </si>
  <si>
    <t>Utilidad Neta</t>
  </si>
  <si>
    <t>Margen Neto</t>
  </si>
  <si>
    <t xml:space="preserve">Costo </t>
  </si>
  <si>
    <t>Dilan Joel Bergaño Caicedo</t>
  </si>
  <si>
    <t>Jeiner Alexis Bustos Quipo</t>
  </si>
  <si>
    <t>Mario Alfonso Garcia Marquez</t>
  </si>
  <si>
    <t>Carolina Andrea Capote Alfonso</t>
  </si>
  <si>
    <t>Juan David García Ocampo</t>
  </si>
  <si>
    <t>Diego Alejandro  Cadena Diaz</t>
  </si>
  <si>
    <t>Julian Alberto Ardila Arguello</t>
  </si>
  <si>
    <t>Karol Dayanna Contreras Calderon</t>
  </si>
  <si>
    <t>Nivel 1</t>
  </si>
  <si>
    <t>PV</t>
  </si>
  <si>
    <t>Nivel 2</t>
  </si>
  <si>
    <t>Caso Express</t>
  </si>
  <si>
    <t>Nivel 3</t>
  </si>
  <si>
    <t>-</t>
  </si>
  <si>
    <t>Tiempo</t>
  </si>
  <si>
    <t>¿El cliente sabe que quiere?</t>
  </si>
  <si>
    <t>Staff Augmentation</t>
  </si>
  <si>
    <t>Desarrollo Express</t>
  </si>
  <si>
    <t>Dedicated Team</t>
  </si>
  <si>
    <t>Proyecto Fijo</t>
  </si>
  <si>
    <t>Soporte</t>
  </si>
  <si>
    <t>LOGO</t>
  </si>
  <si>
    <t>Rubros</t>
  </si>
  <si>
    <t>Cargo</t>
  </si>
  <si>
    <t>Tipo de Contrato</t>
  </si>
  <si>
    <t>Valor Total</t>
  </si>
  <si>
    <t>Factor</t>
  </si>
  <si>
    <t>Valor Total 2</t>
  </si>
  <si>
    <t>PM Jr</t>
  </si>
  <si>
    <t>Tasa Comisión Ventas</t>
  </si>
  <si>
    <t>Licenciamiento</t>
  </si>
  <si>
    <t>PM Sr</t>
  </si>
  <si>
    <t>Mercadeo &amp; Ventas</t>
  </si>
  <si>
    <t>Diseñador Jr</t>
  </si>
  <si>
    <t>Administración</t>
  </si>
  <si>
    <t>Diseñador S Sr.</t>
  </si>
  <si>
    <t>Financiero</t>
  </si>
  <si>
    <t>Diseñador Sr.</t>
  </si>
  <si>
    <t>Personas Oper.</t>
  </si>
  <si>
    <t>Total Costos x Pod</t>
  </si>
  <si>
    <t>Desarrollador Jr</t>
  </si>
  <si>
    <t>Desarrollador S Sr.</t>
  </si>
  <si>
    <t>Precio de Venta</t>
  </si>
  <si>
    <t>Promedio Ene - Abr 21</t>
  </si>
  <si>
    <t>Margin EBIT</t>
  </si>
  <si>
    <t>Precio de Venta USD</t>
  </si>
  <si>
    <t>Impuesto a la Renta</t>
  </si>
  <si>
    <t>Ventas</t>
  </si>
  <si>
    <t>*Excluye comisiones y Consultores de ventas (SUM y Sapper)</t>
  </si>
  <si>
    <t>Jugar con PV</t>
  </si>
  <si>
    <t>Precio de Venta COP</t>
  </si>
  <si>
    <t>Precio Equipo</t>
  </si>
  <si>
    <t>Rete ICA</t>
  </si>
  <si>
    <t>Financieros</t>
  </si>
  <si>
    <t>Project Manager</t>
  </si>
  <si>
    <t>Dev Sr Angular / Node</t>
  </si>
  <si>
    <t>Dev Jr Angular</t>
  </si>
  <si>
    <t>Diseñador UX/UI</t>
  </si>
  <si>
    <t>Ingeniero QA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</si>
</sst>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mm/dd/yyyy"/>
    <numFmt numFmtId="165" formatCode="&quot;$&quot;#,##0"/>
    <numFmt numFmtId="166" formatCode="_-&quot;$&quot;* #,##0_-;\-&quot;$&quot;* #,##0_-;_-&quot;$&quot;* &quot;-&quot;??_-;_-@"/>
    <numFmt numFmtId="167" formatCode="&quot;$&quot;#,##0.00"/>
    <numFmt numFmtId="168" formatCode="_-&quot;$&quot;* #,##0.00_-;\-&quot;$&quot;* #,##0.00_-;_-&quot;$&quot;* &quot;-&quot;??.00_-;_-@"/>
    <numFmt numFmtId="169" formatCode="0.0%"/>
    <numFmt numFmtId="170" formatCode="#,##0.000"/>
    <numFmt numFmtId="171" formatCode="&quot;$&quot;#,##0.0"/>
    <numFmt numFmtId="172" formatCode="_(&quot;$&quot;* #,##0_);_(&quot;$&quot;* \(#,##0\);_(&quot;$&quot;* &quot;-&quot;??_);_(@_)"/>
    <numFmt numFmtId="173" formatCode="_-&quot;$&quot;* #,##0.0_-;\-&quot;$&quot;* #,##0.0_-;_-&quot;$&quot;* &quot;-&quot;??.0_-;_-@"/>
    <numFmt numFmtId="174" formatCode="m/d/yyyy h:mm:ss"/>
    <numFmt numFmtId="175" formatCode="0.0000%"/>
    <numFmt numFmtId="176" formatCode="0.00000000%"/>
    <numFmt numFmtId="177" formatCode="#,##0.0"/>
    <numFmt numFmtId="178" formatCode="&quot;$&quot;#,##0.000"/>
    <numFmt numFmtId="179" formatCode="_-&quot;$&quot;* #,##0.00_-;\-&quot;$&quot;* #,##0.00_-;_-&quot;$&quot;* &quot;-&quot;??_-;_-@"/>
  </numFmts>
  <fonts count="38">
    <font>
      <sz val="11.0"/>
      <color theme="1"/>
      <name val="Calibri"/>
      <scheme val="minor"/>
    </font>
    <font/>
    <font>
      <b/>
      <sz val="20.0"/>
      <color rgb="FFFFFFFF"/>
      <name val="Arial"/>
    </font>
    <font>
      <sz val="12.0"/>
      <color theme="1"/>
      <name val="Calibri"/>
      <scheme val="minor"/>
    </font>
    <font>
      <sz val="11.0"/>
      <color rgb="FF000000"/>
      <name val="Arial"/>
    </font>
    <font>
      <sz val="11.0"/>
      <color rgb="FF000000"/>
      <name val="Calibri"/>
      <scheme val="minor"/>
    </font>
    <font>
      <color theme="1"/>
      <name val="Calibri"/>
      <scheme val="minor"/>
    </font>
    <font>
      <b/>
      <sz val="11.0"/>
      <color rgb="FF000000"/>
      <name val="Calibri"/>
      <scheme val="minor"/>
    </font>
    <font>
      <sz val="11.0"/>
      <color rgb="FF006100"/>
      <name val="Calibri"/>
      <scheme val="minor"/>
    </font>
    <font>
      <b/>
      <sz val="11.0"/>
      <color theme="1"/>
      <name val="Calibri"/>
      <scheme val="minor"/>
    </font>
    <font>
      <color theme="0"/>
      <name val="Calibri"/>
      <scheme val="minor"/>
    </font>
    <font>
      <b/>
      <sz val="11.0"/>
      <color theme="0"/>
      <name val="Calibri"/>
      <scheme val="minor"/>
    </font>
    <font>
      <b/>
      <color theme="1"/>
      <name val="Calibri"/>
      <scheme val="minor"/>
    </font>
    <font>
      <b/>
      <color rgb="FFE69138"/>
      <name val="Calibri"/>
      <scheme val="minor"/>
    </font>
    <font>
      <sz val="11.0"/>
      <color rgb="FF3F3F76"/>
      <name val="Calibri"/>
      <scheme val="minor"/>
    </font>
    <font>
      <i/>
      <sz val="11.0"/>
      <color rgb="FF3C4043"/>
      <name val="Roboto"/>
    </font>
    <font>
      <sz val="11.0"/>
      <color theme="1"/>
      <name val="Calibri"/>
    </font>
    <font>
      <u/>
      <sz val="11.0"/>
      <color rgb="FF000000"/>
      <name val="Calibri"/>
      <scheme val="minor"/>
    </font>
    <font>
      <sz val="11.0"/>
      <color rgb="FF1D1C1D"/>
      <name val="Calibri"/>
      <scheme val="minor"/>
    </font>
    <font>
      <b/>
      <sz val="12.0"/>
      <color theme="1"/>
      <name val="Calibri"/>
      <scheme val="minor"/>
    </font>
    <font>
      <b/>
      <sz val="9.0"/>
      <color rgb="FFFFFFFF"/>
      <name val="Calibri"/>
      <scheme val="minor"/>
    </font>
    <font>
      <sz val="9.0"/>
      <color rgb="FF1D1C1D"/>
      <name val="Calibri"/>
      <scheme val="minor"/>
    </font>
    <font>
      <sz val="9.0"/>
      <color theme="1"/>
      <name val="Calibri"/>
      <scheme val="minor"/>
    </font>
    <font>
      <b/>
      <sz val="9.0"/>
      <color rgb="FF1D1C1D"/>
      <name val="Calibri"/>
      <scheme val="minor"/>
    </font>
    <font>
      <b/>
      <sz val="9.0"/>
      <color theme="1"/>
      <name val="Calibri"/>
      <scheme val="minor"/>
    </font>
    <font>
      <b/>
      <sz val="11.0"/>
      <color rgb="FFFFFFFF"/>
      <name val="Calibri"/>
      <scheme val="minor"/>
    </font>
    <font>
      <color rgb="FF000000"/>
      <name val="Calibri"/>
      <scheme val="minor"/>
    </font>
    <font>
      <sz val="11.0"/>
      <color rgb="FFFFFFFF"/>
      <name val="Calibri"/>
      <scheme val="minor"/>
    </font>
    <font>
      <b/>
      <sz val="11.0"/>
      <color rgb="FF999999"/>
      <name val="Calibri"/>
      <scheme val="minor"/>
    </font>
    <font>
      <sz val="11.0"/>
      <color rgb="FF999999"/>
      <name val="Calibri"/>
      <scheme val="minor"/>
    </font>
    <font>
      <b/>
      <sz val="11.0"/>
      <color rgb="FFCC0000"/>
      <name val="Calibri"/>
      <scheme val="minor"/>
    </font>
    <font>
      <b/>
      <sz val="14.0"/>
      <color theme="1"/>
      <name val="Calibri"/>
      <scheme val="minor"/>
    </font>
    <font>
      <color rgb="FFFFFFFF"/>
      <name val="Calibri"/>
      <scheme val="minor"/>
    </font>
    <font>
      <u/>
      <sz val="11.0"/>
      <color theme="1"/>
      <name val="Calibri"/>
    </font>
    <font>
      <u/>
      <sz val="11.0"/>
      <color theme="1"/>
      <name val="Calibri"/>
      <scheme val="minor"/>
    </font>
    <font>
      <b/>
      <color rgb="FF000000"/>
      <name val="Calibri"/>
      <scheme val="minor"/>
    </font>
    <font>
      <sz val="7.0"/>
      <color theme="1"/>
      <name val="Calibri"/>
      <scheme val="minor"/>
    </font>
    <font>
      <sz val="11.0"/>
      <color rgb="FF11A9CC"/>
      <name val="Inconsolata"/>
    </font>
  </fonts>
  <fills count="36">
    <fill>
      <patternFill patternType="none"/>
    </fill>
    <fill>
      <patternFill patternType="lightGray"/>
    </fill>
    <fill>
      <patternFill patternType="solid">
        <fgColor rgb="FFFF9248"/>
        <bgColor rgb="FFFF9248"/>
      </patternFill>
    </fill>
    <fill>
      <patternFill patternType="solid">
        <fgColor rgb="FFA2C4C9"/>
        <bgColor rgb="FFA2C4C9"/>
      </patternFill>
    </fill>
    <fill>
      <patternFill patternType="solid">
        <fgColor rgb="FFDADADA"/>
        <bgColor rgb="FFDADADA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theme="5"/>
        <bgColor theme="5"/>
      </patternFill>
    </fill>
    <fill>
      <patternFill patternType="solid">
        <fgColor rgb="FFFBE4D5"/>
        <bgColor rgb="FFFBE4D5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4B083"/>
        <bgColor rgb="FFF4B083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F46524"/>
        <bgColor rgb="FFF46524"/>
      </patternFill>
    </fill>
    <fill>
      <patternFill patternType="solid">
        <fgColor rgb="FF999999"/>
        <bgColor rgb="FF999999"/>
      </patternFill>
    </fill>
    <fill>
      <patternFill patternType="solid">
        <fgColor rgb="FFF6B26B"/>
        <bgColor rgb="FFF6B26B"/>
      </patternFill>
    </fill>
    <fill>
      <patternFill patternType="solid">
        <fgColor rgb="FF9FC5E8"/>
        <bgColor rgb="FF9FC5E8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89EE65"/>
        <bgColor rgb="FF89EE65"/>
      </patternFill>
    </fill>
    <fill>
      <patternFill patternType="solid">
        <fgColor rgb="FFFFF2CC"/>
        <bgColor rgb="FFFFF2CC"/>
      </patternFill>
    </fill>
    <fill>
      <patternFill patternType="solid">
        <fgColor rgb="FFE69138"/>
        <bgColor rgb="FFE69138"/>
      </patternFill>
    </fill>
    <fill>
      <patternFill patternType="solid">
        <fgColor rgb="FFF3F3F3"/>
        <bgColor rgb="FFF3F3F3"/>
      </patternFill>
    </fill>
    <fill>
      <patternFill patternType="solid">
        <fgColor rgb="FFBDBDBD"/>
        <bgColor rgb="FFBDBDBD"/>
      </patternFill>
    </fill>
    <fill>
      <patternFill patternType="solid">
        <fgColor rgb="FFFFE6DD"/>
        <bgColor rgb="FFFFE6DD"/>
      </patternFill>
    </fill>
    <fill>
      <patternFill patternType="solid">
        <fgColor rgb="FFFFEB9C"/>
        <bgColor rgb="FFFFEB9C"/>
      </patternFill>
    </fill>
    <fill>
      <patternFill patternType="solid">
        <fgColor rgb="FFE2EFD9"/>
        <bgColor rgb="FFE2EFD9"/>
      </patternFill>
    </fill>
    <fill>
      <patternFill patternType="solid">
        <fgColor rgb="FFDDBA9B"/>
        <bgColor rgb="FFDDBA9B"/>
      </patternFill>
    </fill>
    <fill>
      <patternFill patternType="solid">
        <fgColor rgb="FFFFCC99"/>
        <bgColor rgb="FFFFCC99"/>
      </patternFill>
    </fill>
    <fill>
      <patternFill patternType="solid">
        <fgColor rgb="FFC6EFCE"/>
        <bgColor rgb="FFC6EFCE"/>
      </patternFill>
    </fill>
    <fill>
      <patternFill patternType="solid">
        <fgColor rgb="FFD0E0E3"/>
        <bgColor rgb="FFD0E0E3"/>
      </patternFill>
    </fill>
    <fill>
      <patternFill patternType="solid">
        <fgColor rgb="FFF9CB9C"/>
        <bgColor rgb="FFF9CB9C"/>
      </patternFill>
    </fill>
  </fills>
  <borders count="51">
    <border/>
    <border>
      <left style="double">
        <color rgb="FF002060"/>
      </left>
      <top style="double">
        <color rgb="FF002060"/>
      </top>
    </border>
    <border>
      <right style="double">
        <color rgb="FF002060"/>
      </right>
      <top style="double">
        <color rgb="FF002060"/>
      </top>
    </border>
    <border>
      <top style="double">
        <color rgb="FF002060"/>
      </top>
    </border>
    <border>
      <right style="double">
        <color rgb="FF002060"/>
      </right>
      <top style="double">
        <color rgb="FF002060"/>
      </top>
      <bottom style="double">
        <color rgb="FF002060"/>
      </bottom>
    </border>
    <border>
      <left style="double">
        <color rgb="FF002060"/>
      </left>
    </border>
    <border>
      <right style="double">
        <color rgb="FF002060"/>
      </right>
    </border>
    <border>
      <right style="double">
        <color rgb="FF002060"/>
      </right>
      <bottom style="double">
        <color rgb="FF002060"/>
      </bottom>
    </border>
    <border>
      <left style="double">
        <color rgb="FF002060"/>
      </left>
      <bottom style="double">
        <color rgb="FF002060"/>
      </bottom>
    </border>
    <border>
      <bottom style="double">
        <color rgb="FF00206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990000"/>
      </left>
      <top style="thin">
        <color rgb="FF990000"/>
      </top>
      <bottom style="thin">
        <color rgb="FF990000"/>
      </bottom>
    </border>
    <border>
      <left style="thin">
        <color rgb="FF000000"/>
      </left>
      <bottom style="thin">
        <color rgb="FF000000"/>
      </bottom>
    </border>
    <border>
      <top style="thin">
        <color rgb="FF990000"/>
      </top>
      <bottom style="thin">
        <color rgb="FF990000"/>
      </bottom>
    </border>
    <border>
      <right style="thin">
        <color rgb="FF990000"/>
      </right>
      <top style="thin">
        <color rgb="FF990000"/>
      </top>
      <bottom style="thin">
        <color rgb="FF990000"/>
      </bottom>
    </border>
    <border>
      <left style="thin">
        <color rgb="FF990000"/>
      </left>
      <right style="thin">
        <color rgb="FF990000"/>
      </right>
      <top style="thin">
        <color rgb="FF990000"/>
      </top>
      <bottom style="thin">
        <color rgb="FF99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dotted">
        <color rgb="FF000000"/>
      </left>
      <top style="dotted">
        <color rgb="FF000000"/>
      </top>
    </border>
    <border>
      <left style="thin">
        <color rgb="FF990000"/>
      </left>
      <right style="thin">
        <color rgb="FF990000"/>
      </right>
      <top style="thin">
        <color rgb="FF990000"/>
      </top>
    </border>
    <border>
      <left style="thin">
        <color rgb="FF990000"/>
      </left>
      <right style="thin">
        <color rgb="FF990000"/>
      </right>
      <bottom style="thin">
        <color rgb="FF990000"/>
      </bottom>
    </border>
    <border>
      <top style="dotted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double">
        <color rgb="FF002060"/>
      </left>
      <right style="double">
        <color rgb="FF002060"/>
      </right>
      <top style="double">
        <color rgb="FF002060"/>
      </top>
    </border>
    <border>
      <left style="double">
        <color rgb="FF002060"/>
      </left>
      <right style="double">
        <color rgb="FF002060"/>
      </right>
    </border>
    <border>
      <left style="double">
        <color rgb="FF002060"/>
      </left>
      <right style="double">
        <color rgb="FF002060"/>
      </right>
      <bottom style="double">
        <color rgb="FF00206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50">
    <xf borderId="0" fillId="0" fontId="0" numFmtId="0" xfId="0" applyAlignment="1" applyFont="1">
      <alignment readingOrder="0" shrinkToFit="0" vertical="bottom" wrapText="0"/>
    </xf>
    <xf borderId="1" fillId="0" fontId="0" numFmtId="0" xfId="0" applyAlignment="1" applyBorder="1" applyFont="1">
      <alignment horizontal="center" shrinkToFit="0" vertical="center" wrapText="1"/>
    </xf>
    <xf borderId="2" fillId="0" fontId="1" numFmtId="0" xfId="0" applyBorder="1" applyFont="1"/>
    <xf borderId="1" fillId="2" fontId="2" numFmtId="0" xfId="0" applyAlignment="1" applyBorder="1" applyFill="1" applyFont="1">
      <alignment horizontal="center" shrinkToFit="0" vertical="center" wrapText="1"/>
    </xf>
    <xf borderId="3" fillId="0" fontId="1" numFmtId="0" xfId="0" applyBorder="1" applyFont="1"/>
    <xf borderId="4" fillId="0" fontId="3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5" fillId="0" fontId="1" numFmtId="0" xfId="0" applyBorder="1" applyFont="1"/>
    <xf borderId="6" fillId="0" fontId="1" numFmtId="0" xfId="0" applyBorder="1" applyFont="1"/>
    <xf borderId="7" fillId="0" fontId="3" numFmtId="0" xfId="0" applyAlignment="1" applyBorder="1" applyFont="1">
      <alignment shrinkToFit="0" vertical="center" wrapText="1"/>
    </xf>
    <xf borderId="7" fillId="0" fontId="0" numFmtId="0" xfId="0" applyAlignment="1" applyBorder="1" applyFont="1">
      <alignment horizontal="center" shrinkToFit="0" vertical="center" wrapText="1"/>
    </xf>
    <xf borderId="8" fillId="0" fontId="1" numFmtId="0" xfId="0" applyBorder="1" applyFont="1"/>
    <xf borderId="7" fillId="0" fontId="1" numFmtId="0" xfId="0" applyBorder="1" applyFont="1"/>
    <xf borderId="9" fillId="0" fontId="1" numFmtId="0" xfId="0" applyBorder="1" applyFont="1"/>
    <xf borderId="7" fillId="0" fontId="5" numFmtId="164" xfId="0" applyAlignment="1" applyBorder="1" applyFont="1" applyNumberFormat="1">
      <alignment horizontal="center" readingOrder="0" shrinkToFit="0" vertical="center" wrapText="1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10" fillId="0" fontId="7" numFmtId="0" xfId="0" applyAlignment="1" applyBorder="1" applyFont="1">
      <alignment horizontal="center" readingOrder="0"/>
    </xf>
    <xf borderId="10" fillId="3" fontId="8" numFmtId="165" xfId="0" applyAlignment="1" applyBorder="1" applyFill="1" applyFont="1" applyNumberFormat="1">
      <alignment horizontal="center" readingOrder="0"/>
    </xf>
    <xf borderId="11" fillId="4" fontId="0" numFmtId="0" xfId="0" applyAlignment="1" applyBorder="1" applyFill="1" applyFont="1">
      <alignment horizontal="center" readingOrder="0" shrinkToFit="0" textRotation="90" vertical="center" wrapText="1"/>
    </xf>
    <xf borderId="10" fillId="5" fontId="9" numFmtId="0" xfId="0" applyAlignment="1" applyBorder="1" applyFill="1" applyFont="1">
      <alignment readingOrder="0"/>
    </xf>
    <xf borderId="10" fillId="5" fontId="9" numFmtId="166" xfId="0" applyAlignment="1" applyBorder="1" applyFont="1" applyNumberFormat="1">
      <alignment horizontal="center"/>
    </xf>
    <xf borderId="0" fillId="0" fontId="6" numFmtId="0" xfId="0" applyAlignment="1" applyFont="1">
      <alignment horizontal="right" readingOrder="0"/>
    </xf>
    <xf borderId="0" fillId="0" fontId="6" numFmtId="4" xfId="0" applyFont="1" applyNumberFormat="1"/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horizontal="center"/>
    </xf>
    <xf borderId="10" fillId="6" fontId="8" numFmtId="9" xfId="0" applyAlignment="1" applyBorder="1" applyFill="1" applyFont="1" applyNumberFormat="1">
      <alignment horizontal="center" readingOrder="0"/>
    </xf>
    <xf borderId="12" fillId="0" fontId="1" numFmtId="0" xfId="0" applyBorder="1" applyFont="1"/>
    <xf borderId="0" fillId="0" fontId="6" numFmtId="167" xfId="0" applyAlignment="1" applyFont="1" applyNumberFormat="1">
      <alignment horizontal="center" readingOrder="0"/>
    </xf>
    <xf borderId="13" fillId="7" fontId="11" numFmtId="0" xfId="0" applyAlignment="1" applyBorder="1" applyFill="1" applyFont="1">
      <alignment horizontal="center"/>
    </xf>
    <xf borderId="14" fillId="0" fontId="1" numFmtId="0" xfId="0" applyBorder="1" applyFont="1"/>
    <xf borderId="10" fillId="5" fontId="9" numFmtId="3" xfId="0" applyAlignment="1" applyBorder="1" applyFont="1" applyNumberFormat="1">
      <alignment horizontal="center"/>
    </xf>
    <xf borderId="0" fillId="0" fontId="12" numFmtId="0" xfId="0" applyAlignment="1" applyFont="1">
      <alignment horizontal="right" readingOrder="0"/>
    </xf>
    <xf borderId="0" fillId="0" fontId="12" numFmtId="0" xfId="0" applyFont="1"/>
    <xf borderId="10" fillId="0" fontId="0" numFmtId="0" xfId="0" applyAlignment="1" applyBorder="1" applyFont="1">
      <alignment horizontal="left" readingOrder="0"/>
    </xf>
    <xf borderId="10" fillId="0" fontId="0" numFmtId="166" xfId="0" applyAlignment="1" applyBorder="1" applyFont="1" applyNumberFormat="1">
      <alignment horizontal="center"/>
    </xf>
    <xf borderId="10" fillId="5" fontId="9" numFmtId="168" xfId="0" applyAlignment="1" applyBorder="1" applyFont="1" applyNumberFormat="1">
      <alignment horizontal="center"/>
    </xf>
    <xf borderId="0" fillId="0" fontId="12" numFmtId="10" xfId="0" applyFont="1" applyNumberFormat="1"/>
    <xf borderId="0" fillId="0" fontId="6" numFmtId="3" xfId="0" applyAlignment="1" applyFont="1" applyNumberFormat="1">
      <alignment horizontal="center" readingOrder="0"/>
    </xf>
    <xf borderId="0" fillId="0" fontId="6" numFmtId="9" xfId="0" applyAlignment="1" applyFont="1" applyNumberFormat="1">
      <alignment horizontal="center" readingOrder="0"/>
    </xf>
    <xf borderId="10" fillId="8" fontId="0" numFmtId="0" xfId="0" applyAlignment="1" applyBorder="1" applyFill="1" applyFont="1">
      <alignment horizontal="left" readingOrder="0" shrinkToFit="0" vertical="center" wrapText="1"/>
    </xf>
    <xf borderId="10" fillId="8" fontId="0" numFmtId="166" xfId="0" applyAlignment="1" applyBorder="1" applyFont="1" applyNumberFormat="1">
      <alignment horizontal="center"/>
    </xf>
    <xf borderId="10" fillId="3" fontId="8" numFmtId="10" xfId="0" applyAlignment="1" applyBorder="1" applyFont="1" applyNumberFormat="1">
      <alignment horizontal="center" readingOrder="0"/>
    </xf>
    <xf borderId="15" fillId="0" fontId="1" numFmtId="0" xfId="0" applyBorder="1" applyFont="1"/>
    <xf borderId="0" fillId="0" fontId="6" numFmtId="3" xfId="0" applyAlignment="1" applyFont="1" applyNumberFormat="1">
      <alignment horizontal="center"/>
    </xf>
    <xf borderId="0" fillId="0" fontId="6" numFmtId="9" xfId="0" applyAlignment="1" applyFont="1" applyNumberFormat="1">
      <alignment horizontal="center"/>
    </xf>
    <xf borderId="10" fillId="0" fontId="0" numFmtId="166" xfId="0" applyAlignment="1" applyBorder="1" applyFont="1" applyNumberFormat="1">
      <alignment horizontal="center" readingOrder="0"/>
    </xf>
    <xf borderId="11" fillId="4" fontId="0" numFmtId="0" xfId="0" applyAlignment="1" applyBorder="1" applyFont="1">
      <alignment horizontal="center" shrinkToFit="0" textRotation="90" vertical="center" wrapText="1"/>
    </xf>
    <xf borderId="10" fillId="9" fontId="9" numFmtId="0" xfId="0" applyAlignment="1" applyBorder="1" applyFill="1" applyFont="1">
      <alignment readingOrder="0"/>
    </xf>
    <xf borderId="10" fillId="9" fontId="9" numFmtId="166" xfId="0" applyAlignment="1" applyBorder="1" applyFont="1" applyNumberFormat="1">
      <alignment horizontal="center"/>
    </xf>
    <xf borderId="10" fillId="0" fontId="9" numFmtId="0" xfId="0" applyAlignment="1" applyBorder="1" applyFont="1">
      <alignment horizontal="left" readingOrder="0"/>
    </xf>
    <xf borderId="10" fillId="0" fontId="9" numFmtId="166" xfId="0" applyAlignment="1" applyBorder="1" applyFont="1" applyNumberFormat="1">
      <alignment horizontal="center"/>
    </xf>
    <xf borderId="10" fillId="6" fontId="8" numFmtId="169" xfId="0" applyAlignment="1" applyBorder="1" applyFont="1" applyNumberFormat="1">
      <alignment horizontal="center" readingOrder="0"/>
    </xf>
    <xf borderId="10" fillId="10" fontId="9" numFmtId="0" xfId="0" applyAlignment="1" applyBorder="1" applyFill="1" applyFont="1">
      <alignment readingOrder="0"/>
    </xf>
    <xf borderId="10" fillId="10" fontId="9" numFmtId="166" xfId="0" applyAlignment="1" applyBorder="1" applyFont="1" applyNumberFormat="1">
      <alignment horizontal="center"/>
    </xf>
    <xf borderId="0" fillId="0" fontId="6" numFmtId="10" xfId="0" applyFont="1" applyNumberFormat="1"/>
    <xf borderId="10" fillId="9" fontId="9" numFmtId="3" xfId="0" applyAlignment="1" applyBorder="1" applyFont="1" applyNumberFormat="1">
      <alignment horizontal="center"/>
    </xf>
    <xf borderId="10" fillId="0" fontId="6" numFmtId="0" xfId="0" applyAlignment="1" applyBorder="1" applyFont="1">
      <alignment horizontal="center" readingOrder="0"/>
    </xf>
    <xf borderId="10" fillId="11" fontId="6" numFmtId="9" xfId="0" applyAlignment="1" applyBorder="1" applyFill="1" applyFont="1" applyNumberFormat="1">
      <alignment horizontal="center" readingOrder="0"/>
    </xf>
    <xf borderId="10" fillId="10" fontId="9" numFmtId="168" xfId="0" applyAlignment="1" applyBorder="1" applyFont="1" applyNumberFormat="1">
      <alignment horizontal="center"/>
    </xf>
    <xf borderId="10" fillId="0" fontId="6" numFmtId="10" xfId="0" applyAlignment="1" applyBorder="1" applyFont="1" applyNumberFormat="1">
      <alignment horizontal="center" readingOrder="0"/>
    </xf>
    <xf borderId="10" fillId="6" fontId="6" numFmtId="1" xfId="0" applyAlignment="1" applyBorder="1" applyFont="1" applyNumberFormat="1">
      <alignment horizontal="center" readingOrder="0"/>
    </xf>
    <xf borderId="0" fillId="0" fontId="9" numFmtId="0" xfId="0" applyAlignment="1" applyFont="1">
      <alignment horizontal="center"/>
    </xf>
    <xf borderId="10" fillId="0" fontId="6" numFmtId="170" xfId="0" applyAlignment="1" applyBorder="1" applyFont="1" applyNumberFormat="1">
      <alignment horizontal="center"/>
    </xf>
    <xf borderId="10" fillId="0" fontId="6" numFmtId="10" xfId="0" applyAlignment="1" applyBorder="1" applyFont="1" applyNumberFormat="1">
      <alignment horizontal="center"/>
    </xf>
    <xf borderId="10" fillId="0" fontId="0" numFmtId="0" xfId="0" applyAlignment="1" applyBorder="1" applyFont="1">
      <alignment horizontal="center" readingOrder="0"/>
    </xf>
    <xf borderId="10" fillId="0" fontId="0" numFmtId="0" xfId="0" applyAlignment="1" applyBorder="1" applyFont="1">
      <alignment horizontal="center" readingOrder="0"/>
    </xf>
    <xf borderId="0" fillId="0" fontId="0" numFmtId="0" xfId="0" applyAlignment="1" applyFont="1">
      <alignment horizontal="center"/>
    </xf>
    <xf borderId="10" fillId="0" fontId="5" numFmtId="166" xfId="0" applyAlignment="1" applyBorder="1" applyFont="1" applyNumberFormat="1">
      <alignment horizontal="center" readingOrder="0"/>
    </xf>
    <xf borderId="10" fillId="0" fontId="5" numFmtId="0" xfId="0" applyAlignment="1" applyBorder="1" applyFont="1">
      <alignment horizontal="center" readingOrder="0"/>
    </xf>
    <xf borderId="10" fillId="0" fontId="0" numFmtId="166" xfId="0" applyAlignment="1" applyBorder="1" applyFont="1" applyNumberFormat="1">
      <alignment horizontal="center"/>
    </xf>
    <xf borderId="10" fillId="0" fontId="0" numFmtId="10" xfId="0" applyAlignment="1" applyBorder="1" applyFont="1" applyNumberFormat="1">
      <alignment horizontal="center" readingOrder="0"/>
    </xf>
    <xf borderId="10" fillId="0" fontId="0" numFmtId="10" xfId="0" applyAlignment="1" applyBorder="1" applyFont="1" applyNumberFormat="1">
      <alignment horizontal="center"/>
    </xf>
    <xf borderId="0" fillId="0" fontId="0" numFmtId="166" xfId="0" applyAlignment="1" applyFont="1" applyNumberFormat="1">
      <alignment horizontal="center"/>
    </xf>
    <xf borderId="0" fillId="0" fontId="6" numFmtId="169" xfId="0" applyFont="1" applyNumberFormat="1"/>
    <xf borderId="10" fillId="0" fontId="0" numFmtId="9" xfId="0" applyAlignment="1" applyBorder="1" applyFont="1" applyNumberFormat="1">
      <alignment horizontal="center" readingOrder="0"/>
    </xf>
    <xf borderId="0" fillId="0" fontId="13" numFmtId="0" xfId="0" applyAlignment="1" applyFont="1">
      <alignment readingOrder="0"/>
    </xf>
    <xf borderId="0" fillId="0" fontId="0" numFmtId="0" xfId="0" applyAlignment="1" applyFont="1">
      <alignment horizontal="center" readingOrder="0"/>
    </xf>
    <xf borderId="0" fillId="0" fontId="6" numFmtId="167" xfId="0" applyFont="1" applyNumberFormat="1"/>
    <xf borderId="16" fillId="0" fontId="9" numFmtId="0" xfId="0" applyAlignment="1" applyBorder="1" applyFont="1">
      <alignment horizontal="center" readingOrder="0"/>
    </xf>
    <xf borderId="16" fillId="0" fontId="9" numFmtId="10" xfId="0" applyAlignment="1" applyBorder="1" applyFont="1" applyNumberFormat="1">
      <alignment horizontal="center" readingOrder="0"/>
    </xf>
    <xf borderId="16" fillId="0" fontId="9" numFmtId="171" xfId="0" applyAlignment="1" applyBorder="1" applyFont="1" applyNumberFormat="1">
      <alignment horizontal="center" readingOrder="0"/>
    </xf>
    <xf borderId="16" fillId="0" fontId="0" numFmtId="0" xfId="0" applyAlignment="1" applyBorder="1" applyFont="1">
      <alignment horizontal="center" readingOrder="0"/>
    </xf>
    <xf borderId="16" fillId="0" fontId="0" numFmtId="10" xfId="0" applyAlignment="1" applyBorder="1" applyFont="1" applyNumberFormat="1">
      <alignment horizontal="center" readingOrder="0"/>
    </xf>
    <xf borderId="16" fillId="0" fontId="0" numFmtId="3" xfId="0" applyAlignment="1" applyBorder="1" applyFont="1" applyNumberFormat="1">
      <alignment horizontal="center" readingOrder="0"/>
    </xf>
    <xf borderId="16" fillId="0" fontId="0" numFmtId="165" xfId="0" applyAlignment="1" applyBorder="1" applyFont="1" applyNumberFormat="1">
      <alignment horizontal="center"/>
    </xf>
    <xf borderId="16" fillId="0" fontId="0" numFmtId="171" xfId="0" applyAlignment="1" applyBorder="1" applyFont="1" applyNumberFormat="1">
      <alignment horizontal="center"/>
    </xf>
    <xf borderId="16" fillId="0" fontId="7" numFmtId="0" xfId="0" applyAlignment="1" applyBorder="1" applyFont="1">
      <alignment horizontal="center" readingOrder="0"/>
    </xf>
    <xf borderId="16" fillId="0" fontId="9" numFmtId="3" xfId="0" applyAlignment="1" applyBorder="1" applyFont="1" applyNumberFormat="1">
      <alignment horizontal="center"/>
    </xf>
    <xf borderId="16" fillId="0" fontId="9" numFmtId="165" xfId="0" applyAlignment="1" applyBorder="1" applyFont="1" applyNumberFormat="1">
      <alignment horizontal="center"/>
    </xf>
    <xf borderId="0" fillId="0" fontId="7" numFmtId="0" xfId="0" applyAlignment="1" applyFont="1">
      <alignment horizontal="center" readingOrder="0"/>
    </xf>
    <xf borderId="0" fillId="0" fontId="8" numFmtId="165" xfId="0" applyAlignment="1" applyFont="1" applyNumberFormat="1">
      <alignment horizontal="center" readingOrder="0"/>
    </xf>
    <xf borderId="0" fillId="0" fontId="0" numFmtId="0" xfId="0" applyAlignment="1" applyFont="1">
      <alignment horizontal="center" shrinkToFit="0" textRotation="90" vertical="center" wrapText="1"/>
    </xf>
    <xf borderId="0" fillId="0" fontId="14" numFmtId="0" xfId="0" applyAlignment="1" applyFont="1">
      <alignment horizontal="center" vertical="center"/>
    </xf>
    <xf borderId="0" fillId="0" fontId="8" numFmtId="166" xfId="0" applyAlignment="1" applyFont="1" applyNumberFormat="1">
      <alignment horizontal="center" vertical="center"/>
    </xf>
    <xf borderId="17" fillId="0" fontId="6" numFmtId="0" xfId="0" applyAlignment="1" applyBorder="1" applyFont="1">
      <alignment readingOrder="0"/>
    </xf>
    <xf borderId="17" fillId="0" fontId="6" numFmtId="172" xfId="0" applyAlignment="1" applyBorder="1" applyFont="1" applyNumberFormat="1">
      <alignment readingOrder="0"/>
    </xf>
    <xf borderId="0" fillId="0" fontId="6" numFmtId="0" xfId="0" applyAlignment="1" applyFont="1">
      <alignment horizontal="center"/>
    </xf>
    <xf borderId="17" fillId="0" fontId="6" numFmtId="172" xfId="0" applyBorder="1" applyFont="1" applyNumberFormat="1"/>
    <xf borderId="18" fillId="7" fontId="11" numFmtId="0" xfId="0" applyAlignment="1" applyBorder="1" applyFont="1">
      <alignment horizontal="center"/>
    </xf>
    <xf borderId="19" fillId="0" fontId="1" numFmtId="0" xfId="0" applyBorder="1" applyFont="1"/>
    <xf borderId="16" fillId="0" fontId="0" numFmtId="0" xfId="0" applyAlignment="1" applyBorder="1" applyFont="1">
      <alignment horizontal="center"/>
    </xf>
    <xf borderId="16" fillId="0" fontId="0" numFmtId="173" xfId="0" applyAlignment="1" applyBorder="1" applyFont="1" applyNumberFormat="1">
      <alignment horizontal="center" readingOrder="0"/>
    </xf>
    <xf borderId="16" fillId="12" fontId="15" numFmtId="0" xfId="0" applyBorder="1" applyFill="1" applyFont="1"/>
    <xf borderId="16" fillId="0" fontId="6" numFmtId="0" xfId="0" applyBorder="1" applyFont="1"/>
    <xf borderId="17" fillId="13" fontId="9" numFmtId="0" xfId="0" applyAlignment="1" applyBorder="1" applyFill="1" applyFont="1">
      <alignment horizontal="center" readingOrder="0"/>
    </xf>
    <xf borderId="20" fillId="13" fontId="9" numFmtId="0" xfId="0" applyAlignment="1" applyBorder="1" applyFont="1">
      <alignment horizontal="center" readingOrder="0"/>
    </xf>
    <xf borderId="16" fillId="0" fontId="5" numFmtId="1" xfId="0" applyAlignment="1" applyBorder="1" applyFont="1" applyNumberFormat="1">
      <alignment horizontal="center" readingOrder="0"/>
    </xf>
    <xf borderId="16" fillId="0" fontId="6" numFmtId="174" xfId="0" applyBorder="1" applyFont="1" applyNumberFormat="1"/>
    <xf borderId="16" fillId="0" fontId="6" numFmtId="3" xfId="0" applyBorder="1" applyFont="1" applyNumberFormat="1"/>
    <xf borderId="17" fillId="0" fontId="9" numFmtId="0" xfId="0" applyAlignment="1" applyBorder="1" applyFont="1">
      <alignment horizontal="center" readingOrder="0"/>
    </xf>
    <xf borderId="17" fillId="0" fontId="0" numFmtId="3" xfId="0" applyAlignment="1" applyBorder="1" applyFont="1" applyNumberFormat="1">
      <alignment horizontal="center" readingOrder="0"/>
    </xf>
    <xf borderId="20" fillId="0" fontId="0" numFmtId="3" xfId="0" applyAlignment="1" applyBorder="1" applyFont="1" applyNumberFormat="1">
      <alignment horizontal="center" readingOrder="0"/>
    </xf>
    <xf borderId="16" fillId="0" fontId="0" numFmtId="10" xfId="0" applyAlignment="1" applyBorder="1" applyFont="1" applyNumberFormat="1">
      <alignment horizontal="center"/>
    </xf>
    <xf borderId="17" fillId="8" fontId="9" numFmtId="3" xfId="0" applyAlignment="1" applyBorder="1" applyFont="1" applyNumberFormat="1">
      <alignment horizontal="center" readingOrder="0"/>
    </xf>
    <xf borderId="17" fillId="8" fontId="0" numFmtId="3" xfId="0" applyAlignment="1" applyBorder="1" applyFont="1" applyNumberFormat="1">
      <alignment horizontal="center" readingOrder="0"/>
    </xf>
    <xf borderId="20" fillId="8" fontId="0" numFmtId="3" xfId="0" applyAlignment="1" applyBorder="1" applyFont="1" applyNumberFormat="1">
      <alignment horizontal="center" readingOrder="0"/>
    </xf>
    <xf borderId="16" fillId="0" fontId="5" numFmtId="10" xfId="0" applyAlignment="1" applyBorder="1" applyFont="1" applyNumberFormat="1">
      <alignment horizontal="center" readingOrder="0"/>
    </xf>
    <xf borderId="0" fillId="0" fontId="6" numFmtId="174" xfId="0" applyAlignment="1" applyFont="1" applyNumberFormat="1">
      <alignment horizontal="center"/>
    </xf>
    <xf borderId="0" fillId="0" fontId="6" numFmtId="167" xfId="0" applyAlignment="1" applyFont="1" applyNumberFormat="1">
      <alignment horizontal="center"/>
    </xf>
    <xf borderId="0" fillId="0" fontId="10" numFmtId="0" xfId="0" applyAlignment="1" applyFont="1">
      <alignment horizontal="center"/>
    </xf>
    <xf borderId="0" fillId="0" fontId="10" numFmtId="4" xfId="0" applyAlignment="1" applyFont="1" applyNumberFormat="1">
      <alignment horizontal="center"/>
    </xf>
    <xf borderId="0" fillId="0" fontId="10" numFmtId="0" xfId="0" applyFont="1"/>
    <xf borderId="17" fillId="0" fontId="16" numFmtId="3" xfId="0" applyAlignment="1" applyBorder="1" applyFont="1" applyNumberFormat="1">
      <alignment horizontal="center" readingOrder="0" vertical="bottom"/>
    </xf>
    <xf borderId="17" fillId="14" fontId="0" numFmtId="3" xfId="0" applyAlignment="1" applyBorder="1" applyFill="1" applyFont="1" applyNumberFormat="1">
      <alignment horizontal="center" readingOrder="0"/>
    </xf>
    <xf borderId="0" fillId="0" fontId="0" numFmtId="3" xfId="0" applyAlignment="1" applyFont="1" applyNumberFormat="1">
      <alignment horizontal="center"/>
    </xf>
    <xf borderId="16" fillId="0" fontId="6" numFmtId="0" xfId="0" applyAlignment="1" applyBorder="1" applyFont="1">
      <alignment horizontal="center" readingOrder="0"/>
    </xf>
    <xf borderId="16" fillId="0" fontId="6" numFmtId="4" xfId="0" applyAlignment="1" applyBorder="1" applyFont="1" applyNumberFormat="1">
      <alignment horizontal="center" readingOrder="0"/>
    </xf>
    <xf borderId="20" fillId="0" fontId="16" numFmtId="3" xfId="0" applyAlignment="1" applyBorder="1" applyFont="1" applyNumberFormat="1">
      <alignment horizontal="center" readingOrder="0" vertical="bottom"/>
    </xf>
    <xf borderId="17" fillId="0" fontId="16" numFmtId="1" xfId="0" applyAlignment="1" applyBorder="1" applyFont="1" applyNumberFormat="1">
      <alignment horizontal="center" readingOrder="0" vertical="bottom"/>
    </xf>
    <xf borderId="0" fillId="0" fontId="16" numFmtId="3" xfId="0" applyAlignment="1" applyFont="1" applyNumberFormat="1">
      <alignment horizontal="center" vertical="bottom"/>
    </xf>
    <xf borderId="17" fillId="8" fontId="9" numFmtId="3" xfId="0" applyAlignment="1" applyBorder="1" applyFont="1" applyNumberFormat="1">
      <alignment horizontal="center"/>
    </xf>
    <xf borderId="17" fillId="8" fontId="16" numFmtId="3" xfId="0" applyAlignment="1" applyBorder="1" applyFont="1" applyNumberFormat="1">
      <alignment horizontal="center" vertical="bottom"/>
    </xf>
    <xf borderId="20" fillId="8" fontId="16" numFmtId="3" xfId="0" applyAlignment="1" applyBorder="1" applyFont="1" applyNumberFormat="1">
      <alignment horizontal="center" vertical="bottom"/>
    </xf>
    <xf borderId="17" fillId="8" fontId="16" numFmtId="0" xfId="0" applyAlignment="1" applyBorder="1" applyFont="1">
      <alignment horizontal="center" vertical="bottom"/>
    </xf>
    <xf borderId="17" fillId="0" fontId="16" numFmtId="3" xfId="0" applyAlignment="1" applyBorder="1" applyFont="1" applyNumberFormat="1">
      <alignment horizontal="center" vertical="bottom"/>
    </xf>
    <xf borderId="20" fillId="0" fontId="0" numFmtId="3" xfId="0" applyAlignment="1" applyBorder="1" applyFont="1" applyNumberFormat="1">
      <alignment horizontal="center"/>
    </xf>
    <xf borderId="0" fillId="0" fontId="16" numFmtId="166" xfId="0" applyAlignment="1" applyFont="1" applyNumberFormat="1">
      <alignment horizontal="center" vertical="bottom"/>
    </xf>
    <xf borderId="17" fillId="8" fontId="0" numFmtId="166" xfId="0" applyAlignment="1" applyBorder="1" applyFont="1" applyNumberFormat="1">
      <alignment horizontal="center"/>
    </xf>
    <xf borderId="20" fillId="8" fontId="0" numFmtId="3" xfId="0" applyAlignment="1" applyBorder="1" applyFont="1" applyNumberFormat="1">
      <alignment horizontal="center"/>
    </xf>
    <xf borderId="17" fillId="8" fontId="0" numFmtId="3" xfId="0" applyAlignment="1" applyBorder="1" applyFont="1" applyNumberFormat="1">
      <alignment horizontal="center"/>
    </xf>
    <xf borderId="17" fillId="0" fontId="16" numFmtId="166" xfId="0" applyAlignment="1" applyBorder="1" applyFont="1" applyNumberFormat="1">
      <alignment horizontal="center" vertical="bottom"/>
    </xf>
    <xf borderId="0" fillId="0" fontId="12" numFmtId="0" xfId="0" applyAlignment="1" applyFont="1">
      <alignment readingOrder="0"/>
    </xf>
    <xf borderId="0" fillId="14" fontId="0" numFmtId="0" xfId="0" applyAlignment="1" applyFont="1">
      <alignment horizontal="center" readingOrder="0"/>
    </xf>
    <xf borderId="0" fillId="14" fontId="0" numFmtId="3" xfId="0" applyAlignment="1" applyFont="1" applyNumberFormat="1">
      <alignment horizontal="center" readingOrder="0"/>
    </xf>
    <xf borderId="0" fillId="0" fontId="6" numFmtId="172" xfId="0" applyFont="1" applyNumberFormat="1"/>
    <xf borderId="0" fillId="12" fontId="6" numFmtId="0" xfId="0" applyFont="1"/>
    <xf borderId="0" fillId="12" fontId="6" numFmtId="4" xfId="0" applyAlignment="1" applyFont="1" applyNumberFormat="1">
      <alignment readingOrder="0"/>
    </xf>
    <xf borderId="0" fillId="12" fontId="6" numFmtId="0" xfId="0" applyAlignment="1" applyFont="1">
      <alignment readingOrder="0"/>
    </xf>
    <xf borderId="17" fillId="0" fontId="6" numFmtId="0" xfId="0" applyAlignment="1" applyBorder="1" applyFont="1">
      <alignment readingOrder="0"/>
    </xf>
    <xf borderId="17" fillId="0" fontId="6" numFmtId="172" xfId="0" applyAlignment="1" applyBorder="1" applyFont="1" applyNumberFormat="1">
      <alignment readingOrder="0"/>
    </xf>
    <xf borderId="17" fillId="0" fontId="6" numFmtId="172" xfId="0" applyBorder="1" applyFont="1" applyNumberFormat="1"/>
    <xf borderId="17" fillId="12" fontId="6" numFmtId="0" xfId="0" applyAlignment="1" applyBorder="1" applyFont="1">
      <alignment readingOrder="0"/>
    </xf>
    <xf borderId="17" fillId="12" fontId="6" numFmtId="172" xfId="0" applyAlignment="1" applyBorder="1" applyFont="1" applyNumberFormat="1">
      <alignment readingOrder="0"/>
    </xf>
    <xf borderId="17" fillId="12" fontId="6" numFmtId="172" xfId="0" applyBorder="1" applyFont="1" applyNumberFormat="1"/>
    <xf borderId="21" fillId="0" fontId="12" numFmtId="0" xfId="0" applyAlignment="1" applyBorder="1" applyFont="1">
      <alignment horizontal="center" readingOrder="0"/>
    </xf>
    <xf borderId="22" fillId="0" fontId="12" numFmtId="172" xfId="0" applyAlignment="1" applyBorder="1" applyFont="1" applyNumberFormat="1">
      <alignment horizontal="center" readingOrder="0"/>
    </xf>
    <xf borderId="17" fillId="0" fontId="12" numFmtId="0" xfId="0" applyAlignment="1" applyBorder="1" applyFont="1">
      <alignment horizontal="center" readingOrder="0"/>
    </xf>
    <xf borderId="0" fillId="0" fontId="12" numFmtId="0" xfId="0" applyAlignment="1" applyFont="1">
      <alignment horizontal="center" readingOrder="0"/>
    </xf>
    <xf borderId="17" fillId="0" fontId="6" numFmtId="9" xfId="0" applyAlignment="1" applyBorder="1" applyFont="1" applyNumberFormat="1">
      <alignment readingOrder="0"/>
    </xf>
    <xf borderId="23" fillId="0" fontId="6" numFmtId="10" xfId="0" applyAlignment="1" applyBorder="1" applyFont="1" applyNumberFormat="1">
      <alignment readingOrder="0"/>
    </xf>
    <xf borderId="0" fillId="0" fontId="6" numFmtId="9" xfId="0" applyAlignment="1" applyFont="1" applyNumberFormat="1">
      <alignment readingOrder="0"/>
    </xf>
    <xf borderId="20" fillId="0" fontId="6" numFmtId="9" xfId="0" applyAlignment="1" applyBorder="1" applyFont="1" applyNumberFormat="1">
      <alignment readingOrder="0"/>
    </xf>
    <xf borderId="0" fillId="12" fontId="6" numFmtId="9" xfId="0" applyAlignment="1" applyFont="1" applyNumberFormat="1">
      <alignment readingOrder="0"/>
    </xf>
    <xf borderId="23" fillId="0" fontId="6" numFmtId="9" xfId="0" applyAlignment="1" applyBorder="1" applyFont="1" applyNumberFormat="1">
      <alignment readingOrder="0"/>
    </xf>
    <xf borderId="22" fillId="15" fontId="12" numFmtId="172" xfId="0" applyAlignment="1" applyBorder="1" applyFill="1" applyFont="1" applyNumberFormat="1">
      <alignment horizontal="center" readingOrder="0"/>
    </xf>
    <xf borderId="24" fillId="0" fontId="1" numFmtId="0" xfId="0" applyBorder="1" applyFont="1"/>
    <xf borderId="25" fillId="0" fontId="1" numFmtId="0" xfId="0" applyBorder="1" applyFont="1"/>
    <xf borderId="26" fillId="0" fontId="12" numFmtId="172" xfId="0" applyAlignment="1" applyBorder="1" applyFont="1" applyNumberFormat="1">
      <alignment horizontal="center" readingOrder="0"/>
    </xf>
    <xf borderId="26" fillId="0" fontId="12" numFmtId="0" xfId="0" applyAlignment="1" applyBorder="1" applyFont="1">
      <alignment horizontal="center" readingOrder="0"/>
    </xf>
    <xf borderId="26" fillId="16" fontId="12" numFmtId="0" xfId="0" applyAlignment="1" applyBorder="1" applyFill="1" applyFont="1">
      <alignment horizontal="center" readingOrder="0"/>
    </xf>
    <xf borderId="23" fillId="0" fontId="6" numFmtId="3" xfId="0" applyAlignment="1" applyBorder="1" applyFont="1" applyNumberFormat="1">
      <alignment readingOrder="0"/>
    </xf>
    <xf borderId="26" fillId="0" fontId="6" numFmtId="3" xfId="0" applyAlignment="1" applyBorder="1" applyFont="1" applyNumberFormat="1">
      <alignment readingOrder="0"/>
    </xf>
    <xf borderId="20" fillId="0" fontId="6" numFmtId="3" xfId="0" applyAlignment="1" applyBorder="1" applyFont="1" applyNumberFormat="1">
      <alignment readingOrder="0"/>
    </xf>
    <xf borderId="17" fillId="0" fontId="6" numFmtId="3" xfId="0" applyAlignment="1" applyBorder="1" applyFont="1" applyNumberFormat="1">
      <alignment readingOrder="0"/>
    </xf>
    <xf borderId="27" fillId="0" fontId="6" numFmtId="3" xfId="0" applyAlignment="1" applyBorder="1" applyFont="1" applyNumberFormat="1">
      <alignment readingOrder="0"/>
    </xf>
    <xf borderId="17" fillId="0" fontId="6" numFmtId="3" xfId="0" applyAlignment="1" applyBorder="1" applyFont="1" applyNumberFormat="1">
      <alignment readingOrder="0"/>
    </xf>
    <xf borderId="0" fillId="0" fontId="6" numFmtId="3" xfId="0" applyFont="1" applyNumberFormat="1"/>
    <xf borderId="0" fillId="0" fontId="12" numFmtId="172" xfId="0" applyAlignment="1" applyFont="1" applyNumberFormat="1">
      <alignment horizontal="center" readingOrder="0"/>
    </xf>
    <xf borderId="0" fillId="0" fontId="6" numFmtId="172" xfId="0" applyAlignment="1" applyFont="1" applyNumberFormat="1">
      <alignment readingOrder="0"/>
    </xf>
    <xf borderId="0" fillId="12" fontId="17" numFmtId="172" xfId="0" applyAlignment="1" applyFont="1" applyNumberFormat="1">
      <alignment readingOrder="0"/>
    </xf>
    <xf borderId="0" fillId="0" fontId="18" numFmtId="0" xfId="0" applyAlignment="1" applyFont="1">
      <alignment horizontal="left" readingOrder="0"/>
    </xf>
    <xf borderId="0" fillId="0" fontId="19" numFmtId="0" xfId="0" applyAlignment="1" applyFont="1">
      <alignment readingOrder="0"/>
    </xf>
    <xf borderId="18" fillId="17" fontId="20" numFmtId="0" xfId="0" applyAlignment="1" applyBorder="1" applyFill="1" applyFont="1">
      <alignment horizontal="center" readingOrder="0" shrinkToFit="0" vertical="center" wrapText="1"/>
    </xf>
    <xf borderId="16" fillId="17" fontId="20" numFmtId="0" xfId="0" applyAlignment="1" applyBorder="1" applyFont="1">
      <alignment horizontal="center" readingOrder="0" shrinkToFit="0" vertical="center" wrapText="1"/>
    </xf>
    <xf borderId="28" fillId="0" fontId="21" numFmtId="0" xfId="0" applyAlignment="1" applyBorder="1" applyFont="1">
      <alignment horizontal="center" readingOrder="0" shrinkToFit="0" vertical="center" wrapText="1"/>
    </xf>
    <xf borderId="16" fillId="0" fontId="22" numFmtId="0" xfId="0" applyAlignment="1" applyBorder="1" applyFont="1">
      <alignment readingOrder="0"/>
    </xf>
    <xf borderId="16" fillId="0" fontId="22" numFmtId="169" xfId="0" applyAlignment="1" applyBorder="1" applyFont="1" applyNumberFormat="1">
      <alignment horizontal="center" readingOrder="0"/>
    </xf>
    <xf borderId="16" fillId="0" fontId="22" numFmtId="169" xfId="0" applyAlignment="1" applyBorder="1" applyFont="1" applyNumberFormat="1">
      <alignment horizontal="center"/>
    </xf>
    <xf borderId="29" fillId="0" fontId="1" numFmtId="0" xfId="0" applyBorder="1" applyFont="1"/>
    <xf borderId="30" fillId="0" fontId="1" numFmtId="0" xfId="0" applyBorder="1" applyFont="1"/>
    <xf borderId="0" fillId="0" fontId="21" numFmtId="0" xfId="0" applyAlignment="1" applyFont="1">
      <alignment horizontal="left" readingOrder="0"/>
    </xf>
    <xf borderId="0" fillId="0" fontId="22" numFmtId="0" xfId="0" applyFont="1"/>
    <xf borderId="0" fillId="17" fontId="20" numFmtId="0" xfId="0" applyAlignment="1" applyFont="1">
      <alignment horizontal="center" readingOrder="0" vertical="center"/>
    </xf>
    <xf borderId="0" fillId="0" fontId="22" numFmtId="0" xfId="0" applyAlignment="1" applyFont="1">
      <alignment horizontal="left" readingOrder="0"/>
    </xf>
    <xf borderId="16" fillId="0" fontId="23" numFmtId="0" xfId="0" applyAlignment="1" applyBorder="1" applyFont="1">
      <alignment horizontal="left" readingOrder="0"/>
    </xf>
    <xf borderId="18" fillId="0" fontId="22" numFmtId="0" xfId="0" applyAlignment="1" applyBorder="1" applyFont="1">
      <alignment horizontal="left" readingOrder="0"/>
    </xf>
    <xf borderId="31" fillId="0" fontId="1" numFmtId="0" xfId="0" applyBorder="1" applyFont="1"/>
    <xf borderId="16" fillId="0" fontId="24" numFmtId="0" xfId="0" applyAlignment="1" applyBorder="1" applyFont="1">
      <alignment readingOrder="0"/>
    </xf>
    <xf borderId="16" fillId="0" fontId="22" numFmtId="3" xfId="0" applyAlignment="1" applyBorder="1" applyFont="1" applyNumberFormat="1">
      <alignment readingOrder="0"/>
    </xf>
    <xf borderId="0" fillId="0" fontId="0" numFmtId="0" xfId="0" applyAlignment="1" applyFont="1">
      <alignment horizontal="center" shrinkToFit="0" vertical="center" wrapText="1"/>
    </xf>
    <xf borderId="0" fillId="0" fontId="0" numFmtId="10" xfId="0" applyAlignment="1" applyFont="1" applyNumberFormat="1">
      <alignment horizontal="center" shrinkToFit="0" vertical="center" wrapText="1"/>
    </xf>
    <xf borderId="32" fillId="18" fontId="25" numFmtId="0" xfId="0" applyAlignment="1" applyBorder="1" applyFill="1" applyFont="1">
      <alignment horizontal="center" readingOrder="0"/>
    </xf>
    <xf borderId="11" fillId="19" fontId="26" numFmtId="0" xfId="0" applyAlignment="1" applyBorder="1" applyFill="1" applyFont="1">
      <alignment horizontal="center" readingOrder="0"/>
    </xf>
    <xf borderId="0" fillId="0" fontId="6" numFmtId="10" xfId="0" applyAlignment="1" applyFont="1" applyNumberFormat="1">
      <alignment horizontal="center" readingOrder="0"/>
    </xf>
    <xf borderId="0" fillId="12" fontId="0" numFmtId="10" xfId="0" applyAlignment="1" applyFont="1" applyNumberFormat="1">
      <alignment horizontal="center" shrinkToFit="0" vertical="center" wrapText="1"/>
    </xf>
    <xf borderId="0" fillId="12" fontId="0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10" fillId="19" fontId="5" numFmtId="0" xfId="0" applyAlignment="1" applyBorder="1" applyFont="1">
      <alignment horizontal="center" readingOrder="0"/>
    </xf>
    <xf borderId="0" fillId="0" fontId="0" numFmtId="9" xfId="0" applyAlignment="1" applyFont="1" applyNumberFormat="1">
      <alignment horizontal="center" readingOrder="0" shrinkToFit="0" vertical="center" wrapText="1"/>
    </xf>
    <xf borderId="0" fillId="0" fontId="0" numFmtId="10" xfId="0" applyAlignment="1" applyFont="1" applyNumberFormat="1">
      <alignment horizontal="center" readingOrder="0" shrinkToFit="0" vertical="center" wrapText="1"/>
    </xf>
    <xf borderId="0" fillId="0" fontId="0" numFmtId="0" xfId="0" applyAlignment="1" applyFont="1">
      <alignment horizontal="center" readingOrder="0" shrinkToFit="0" vertical="center" wrapText="1"/>
    </xf>
    <xf borderId="10" fillId="19" fontId="5" numFmtId="10" xfId="0" applyAlignment="1" applyBorder="1" applyFont="1" applyNumberFormat="1">
      <alignment horizontal="center" readingOrder="0"/>
    </xf>
    <xf borderId="32" fillId="18" fontId="27" numFmtId="0" xfId="0" applyAlignment="1" applyBorder="1" applyFont="1">
      <alignment horizontal="center" readingOrder="0"/>
    </xf>
    <xf borderId="10" fillId="19" fontId="28" numFmtId="166" xfId="0" applyAlignment="1" applyBorder="1" applyFont="1" applyNumberFormat="1">
      <alignment horizontal="center" readingOrder="0"/>
    </xf>
    <xf borderId="0" fillId="12" fontId="26" numFmtId="9" xfId="0" applyAlignment="1" applyFont="1" applyNumberFormat="1">
      <alignment horizontal="center" readingOrder="0"/>
    </xf>
    <xf borderId="0" fillId="0" fontId="6" numFmtId="4" xfId="0" applyAlignment="1" applyFont="1" applyNumberFormat="1">
      <alignment horizontal="center" readingOrder="0"/>
    </xf>
    <xf borderId="0" fillId="12" fontId="7" numFmtId="0" xfId="0" applyAlignment="1" applyFont="1">
      <alignment horizontal="center" readingOrder="0"/>
    </xf>
    <xf borderId="10" fillId="19" fontId="29" numFmtId="166" xfId="0" applyAlignment="1" applyBorder="1" applyFont="1" applyNumberFormat="1">
      <alignment horizontal="center" readingOrder="0"/>
    </xf>
    <xf borderId="10" fillId="20" fontId="7" numFmtId="0" xfId="0" applyAlignment="1" applyBorder="1" applyFill="1" applyFont="1">
      <alignment horizontal="center" readingOrder="0"/>
    </xf>
    <xf borderId="10" fillId="12" fontId="26" numFmtId="9" xfId="0" applyAlignment="1" applyBorder="1" applyFont="1" applyNumberFormat="1">
      <alignment horizontal="center" readingOrder="0"/>
    </xf>
    <xf borderId="0" fillId="21" fontId="30" numFmtId="0" xfId="0" applyAlignment="1" applyFill="1" applyFont="1">
      <alignment horizontal="center" readingOrder="0"/>
    </xf>
    <xf borderId="10" fillId="19" fontId="5" numFmtId="166" xfId="0" applyAlignment="1" applyBorder="1" applyFont="1" applyNumberFormat="1">
      <alignment horizontal="center" readingOrder="0"/>
    </xf>
    <xf borderId="0" fillId="0" fontId="0" numFmtId="3" xfId="0" applyAlignment="1" applyFont="1" applyNumberFormat="1">
      <alignment horizontal="center" shrinkToFit="0" vertical="center" wrapText="1"/>
    </xf>
    <xf borderId="0" fillId="0" fontId="25" numFmtId="0" xfId="0" applyAlignment="1" applyFont="1">
      <alignment horizontal="center" readingOrder="0"/>
    </xf>
    <xf borderId="32" fillId="18" fontId="25" numFmtId="10" xfId="0" applyAlignment="1" applyBorder="1" applyFont="1" applyNumberFormat="1">
      <alignment horizontal="center" readingOrder="0"/>
    </xf>
    <xf borderId="11" fillId="22" fontId="9" numFmtId="0" xfId="0" applyAlignment="1" applyBorder="1" applyFill="1" applyFont="1">
      <alignment horizontal="center" readingOrder="0" shrinkToFit="0" textRotation="0" vertical="center" wrapText="1"/>
    </xf>
    <xf borderId="10" fillId="22" fontId="8" numFmtId="165" xfId="0" applyAlignment="1" applyBorder="1" applyFont="1" applyNumberFormat="1">
      <alignment horizontal="center" readingOrder="0"/>
    </xf>
    <xf borderId="10" fillId="12" fontId="9" numFmtId="0" xfId="0" applyAlignment="1" applyBorder="1" applyFont="1">
      <alignment readingOrder="0"/>
    </xf>
    <xf borderId="10" fillId="23" fontId="31" numFmtId="166" xfId="0" applyAlignment="1" applyBorder="1" applyFill="1" applyFont="1" applyNumberFormat="1">
      <alignment horizontal="right"/>
    </xf>
    <xf borderId="10" fillId="23" fontId="31" numFmtId="165" xfId="0" applyAlignment="1" applyBorder="1" applyFont="1" applyNumberFormat="1">
      <alignment horizontal="right"/>
    </xf>
    <xf borderId="10" fillId="19" fontId="8" numFmtId="9" xfId="0" applyAlignment="1" applyBorder="1" applyFont="1" applyNumberFormat="1">
      <alignment horizontal="center" readingOrder="0"/>
    </xf>
    <xf borderId="0" fillId="0" fontId="6" numFmtId="0" xfId="0" applyFont="1"/>
    <xf borderId="10" fillId="22" fontId="8" numFmtId="175" xfId="0" applyAlignment="1" applyBorder="1" applyFont="1" applyNumberFormat="1">
      <alignment horizontal="center" readingOrder="0"/>
    </xf>
    <xf borderId="0" fillId="0" fontId="6" numFmtId="166" xfId="0" applyFont="1" applyNumberFormat="1"/>
    <xf borderId="0" fillId="0" fontId="0" numFmtId="0" xfId="0" applyAlignment="1" applyFont="1">
      <alignment horizontal="center" readingOrder="0" shrinkToFit="0" textRotation="90" vertical="center" wrapText="1"/>
    </xf>
    <xf borderId="0" fillId="0" fontId="6" numFmtId="0" xfId="0" applyAlignment="1" applyFont="1">
      <alignment horizontal="right"/>
    </xf>
    <xf borderId="0" fillId="0" fontId="26" numFmtId="0" xfId="0" applyFont="1"/>
    <xf borderId="0" fillId="0" fontId="26" numFmtId="0" xfId="0" applyAlignment="1" applyFont="1">
      <alignment readingOrder="0"/>
    </xf>
    <xf borderId="0" fillId="0" fontId="26" numFmtId="166" xfId="0" applyFont="1" applyNumberFormat="1"/>
    <xf borderId="10" fillId="22" fontId="8" numFmtId="10" xfId="0" applyAlignment="1" applyBorder="1" applyFont="1" applyNumberFormat="1">
      <alignment horizontal="center" readingOrder="0"/>
    </xf>
    <xf borderId="0" fillId="0" fontId="9" numFmtId="0" xfId="0" applyAlignment="1" applyFont="1">
      <alignment readingOrder="0"/>
    </xf>
    <xf borderId="0" fillId="0" fontId="6" numFmtId="176" xfId="0" applyFont="1" applyNumberFormat="1"/>
    <xf borderId="33" fillId="24" fontId="24" numFmtId="172" xfId="0" applyAlignment="1" applyBorder="1" applyFill="1" applyFont="1" applyNumberFormat="1">
      <alignment horizontal="left" readingOrder="0" shrinkToFit="0" vertical="center" wrapText="1"/>
    </xf>
    <xf borderId="0" fillId="0" fontId="24" numFmtId="0" xfId="0" applyAlignment="1" applyFont="1">
      <alignment horizontal="left" readingOrder="0" shrinkToFit="0" vertical="center" wrapText="1"/>
    </xf>
    <xf borderId="0" fillId="12" fontId="6" numFmtId="1" xfId="0" applyAlignment="1" applyFont="1" applyNumberFormat="1">
      <alignment horizontal="center" readingOrder="0"/>
    </xf>
    <xf borderId="34" fillId="0" fontId="1" numFmtId="0" xfId="0" applyBorder="1" applyFont="1"/>
    <xf borderId="10" fillId="6" fontId="12" numFmtId="177" xfId="0" applyAlignment="1" applyBorder="1" applyFont="1" applyNumberFormat="1">
      <alignment horizontal="center" readingOrder="0"/>
    </xf>
    <xf borderId="0" fillId="0" fontId="0" numFmtId="10" xfId="0" applyAlignment="1" applyFont="1" applyNumberFormat="1">
      <alignment horizontal="center" shrinkToFit="0" textRotation="90" vertical="center" wrapText="1"/>
    </xf>
    <xf borderId="10" fillId="25" fontId="25" numFmtId="0" xfId="0" applyAlignment="1" applyBorder="1" applyFill="1" applyFont="1">
      <alignment horizontal="center" readingOrder="0"/>
    </xf>
    <xf borderId="10" fillId="25" fontId="25" numFmtId="0" xfId="0" applyAlignment="1" applyBorder="1" applyFont="1">
      <alignment horizontal="center" readingOrder="0"/>
    </xf>
    <xf borderId="0" fillId="0" fontId="32" numFmtId="0" xfId="0" applyAlignment="1" applyFont="1">
      <alignment horizontal="center" readingOrder="0"/>
    </xf>
    <xf borderId="10" fillId="19" fontId="16" numFmtId="0" xfId="0" applyAlignment="1" applyBorder="1" applyFont="1">
      <alignment horizontal="center" readingOrder="0" vertical="bottom"/>
    </xf>
    <xf borderId="10" fillId="19" fontId="16" numFmtId="9" xfId="0" applyAlignment="1" applyBorder="1" applyFont="1" applyNumberFormat="1">
      <alignment horizontal="center" readingOrder="0" vertical="bottom"/>
    </xf>
    <xf borderId="10" fillId="0" fontId="5" numFmtId="9" xfId="0" applyAlignment="1" applyBorder="1" applyFont="1" applyNumberFormat="1">
      <alignment horizontal="center" readingOrder="0"/>
    </xf>
    <xf borderId="15" fillId="19" fontId="16" numFmtId="0" xfId="0" applyAlignment="1" applyBorder="1" applyFont="1">
      <alignment horizontal="center" readingOrder="0" vertical="bottom"/>
    </xf>
    <xf borderId="15" fillId="19" fontId="16" numFmtId="9" xfId="0" applyAlignment="1" applyBorder="1" applyFont="1" applyNumberFormat="1">
      <alignment horizontal="center" readingOrder="0" vertical="bottom"/>
    </xf>
    <xf borderId="15" fillId="19" fontId="33" numFmtId="9" xfId="0" applyAlignment="1" applyBorder="1" applyFont="1" applyNumberFormat="1">
      <alignment horizontal="center" readingOrder="0" vertical="bottom"/>
    </xf>
    <xf borderId="10" fillId="19" fontId="0" numFmtId="9" xfId="0" applyAlignment="1" applyBorder="1" applyFont="1" applyNumberFormat="1">
      <alignment horizontal="center" readingOrder="0"/>
    </xf>
    <xf borderId="10" fillId="14" fontId="9" numFmtId="165" xfId="0" applyAlignment="1" applyBorder="1" applyFont="1" applyNumberFormat="1">
      <alignment horizontal="center" readingOrder="0"/>
    </xf>
    <xf borderId="10" fillId="14" fontId="9" numFmtId="9" xfId="0" applyAlignment="1" applyBorder="1" applyFont="1" applyNumberFormat="1">
      <alignment horizontal="center" readingOrder="0"/>
    </xf>
    <xf borderId="10" fillId="18" fontId="25" numFmtId="0" xfId="0" applyAlignment="1" applyBorder="1" applyFont="1">
      <alignment horizontal="center" readingOrder="0"/>
    </xf>
    <xf borderId="10" fillId="18" fontId="25" numFmtId="0" xfId="0" applyAlignment="1" applyBorder="1" applyFont="1">
      <alignment horizontal="center" readingOrder="0"/>
    </xf>
    <xf borderId="10" fillId="18" fontId="32" numFmtId="0" xfId="0" applyAlignment="1" applyBorder="1" applyFont="1">
      <alignment readingOrder="0"/>
    </xf>
    <xf borderId="10" fillId="0" fontId="6" numFmtId="0" xfId="0" applyBorder="1" applyFont="1"/>
    <xf borderId="10" fillId="0" fontId="6" numFmtId="9" xfId="0" applyAlignment="1" applyBorder="1" applyFont="1" applyNumberFormat="1">
      <alignment horizontal="center"/>
    </xf>
    <xf borderId="10" fillId="0" fontId="6" numFmtId="1" xfId="0" applyAlignment="1" applyBorder="1" applyFont="1" applyNumberFormat="1">
      <alignment horizontal="center"/>
    </xf>
    <xf borderId="10" fillId="0" fontId="6" numFmtId="165" xfId="0" applyAlignment="1" applyBorder="1" applyFont="1" applyNumberFormat="1">
      <alignment horizontal="center"/>
    </xf>
    <xf borderId="10" fillId="0" fontId="6" numFmtId="0" xfId="0" applyAlignment="1" applyBorder="1" applyFont="1">
      <alignment horizontal="center"/>
    </xf>
    <xf borderId="10" fillId="26" fontId="7" numFmtId="0" xfId="0" applyAlignment="1" applyBorder="1" applyFill="1" applyFont="1">
      <alignment horizontal="center" readingOrder="0"/>
    </xf>
    <xf borderId="10" fillId="26" fontId="7" numFmtId="165" xfId="0" applyAlignment="1" applyBorder="1" applyFont="1" applyNumberFormat="1">
      <alignment horizontal="center" readingOrder="0"/>
    </xf>
    <xf borderId="0" fillId="14" fontId="6" numFmtId="0" xfId="0" applyFont="1"/>
    <xf borderId="35" fillId="25" fontId="25" numFmtId="0" xfId="0" applyAlignment="1" applyBorder="1" applyFont="1">
      <alignment horizontal="center" readingOrder="0"/>
    </xf>
    <xf borderId="14" fillId="25" fontId="25" numFmtId="0" xfId="0" applyAlignment="1" applyBorder="1" applyFont="1">
      <alignment horizontal="center" readingOrder="0"/>
    </xf>
    <xf borderId="0" fillId="14" fontId="25" numFmtId="0" xfId="0" applyAlignment="1" applyFont="1">
      <alignment horizontal="center" readingOrder="0"/>
    </xf>
    <xf borderId="10" fillId="0" fontId="9" numFmtId="0" xfId="0" applyAlignment="1" applyBorder="1" applyFont="1">
      <alignment horizontal="left" readingOrder="0"/>
    </xf>
    <xf borderId="10" fillId="0" fontId="9" numFmtId="166" xfId="0" applyAlignment="1" applyBorder="1" applyFont="1" applyNumberFormat="1">
      <alignment horizontal="center"/>
    </xf>
    <xf borderId="0" fillId="14" fontId="9" numFmtId="0" xfId="0" applyAlignment="1" applyFont="1">
      <alignment horizontal="center"/>
    </xf>
    <xf borderId="10" fillId="8" fontId="9" numFmtId="0" xfId="0" applyAlignment="1" applyBorder="1" applyFont="1">
      <alignment horizontal="left" readingOrder="0" shrinkToFit="0" vertical="center" wrapText="1"/>
    </xf>
    <xf borderId="10" fillId="8" fontId="9" numFmtId="166" xfId="0" applyAlignment="1" applyBorder="1" applyFont="1" applyNumberFormat="1">
      <alignment horizontal="center"/>
    </xf>
    <xf borderId="10" fillId="0" fontId="0" numFmtId="0" xfId="0" applyAlignment="1" applyBorder="1" applyFont="1">
      <alignment horizontal="left" readingOrder="0"/>
    </xf>
    <xf borderId="10" fillId="8" fontId="0" numFmtId="166" xfId="0" applyAlignment="1" applyBorder="1" applyFont="1" applyNumberFormat="1">
      <alignment horizontal="center"/>
    </xf>
    <xf borderId="0" fillId="14" fontId="0" numFmtId="0" xfId="0" applyAlignment="1" applyFont="1">
      <alignment horizontal="center" readingOrder="0"/>
    </xf>
    <xf borderId="11" fillId="0" fontId="9" numFmtId="0" xfId="0" applyAlignment="1" applyBorder="1" applyFont="1">
      <alignment horizontal="left" readingOrder="0"/>
    </xf>
    <xf borderId="11" fillId="0" fontId="9" numFmtId="166" xfId="0" applyAlignment="1" applyBorder="1" applyFont="1" applyNumberFormat="1">
      <alignment horizontal="center"/>
    </xf>
    <xf borderId="16" fillId="0" fontId="9" numFmtId="0" xfId="0" applyAlignment="1" applyBorder="1" applyFont="1">
      <alignment horizontal="left" readingOrder="0"/>
    </xf>
    <xf borderId="16" fillId="0" fontId="9" numFmtId="166" xfId="0" applyAlignment="1" applyBorder="1" applyFont="1" applyNumberFormat="1">
      <alignment horizontal="center"/>
    </xf>
    <xf borderId="0" fillId="12" fontId="9" numFmtId="0" xfId="0" applyAlignment="1" applyFont="1">
      <alignment horizontal="center"/>
    </xf>
    <xf borderId="0" fillId="0" fontId="6" numFmtId="0" xfId="0" applyFont="1"/>
    <xf borderId="0" fillId="12" fontId="6" numFmtId="0" xfId="0" applyAlignment="1" applyFont="1">
      <alignment readingOrder="0"/>
    </xf>
    <xf borderId="0" fillId="0" fontId="6" numFmtId="165" xfId="0" applyFont="1" applyNumberFormat="1"/>
    <xf borderId="0" fillId="18" fontId="32" numFmtId="0" xfId="0" applyAlignment="1" applyFont="1">
      <alignment readingOrder="0"/>
    </xf>
    <xf borderId="28" fillId="18" fontId="25" numFmtId="0" xfId="0" applyAlignment="1" applyBorder="1" applyFont="1">
      <alignment horizontal="center" readingOrder="0"/>
    </xf>
    <xf borderId="36" fillId="18" fontId="25" numFmtId="0" xfId="0" applyAlignment="1" applyBorder="1" applyFont="1">
      <alignment horizontal="center" readingOrder="0"/>
    </xf>
    <xf borderId="37" fillId="18" fontId="25" numFmtId="0" xfId="0" applyAlignment="1" applyBorder="1" applyFont="1">
      <alignment horizontal="center" readingOrder="0"/>
    </xf>
    <xf borderId="37" fillId="18" fontId="25" numFmtId="0" xfId="0" applyAlignment="1" applyBorder="1" applyFont="1">
      <alignment horizontal="center" readingOrder="0"/>
    </xf>
    <xf borderId="38" fillId="18" fontId="32" numFmtId="0" xfId="0" applyAlignment="1" applyBorder="1" applyFont="1">
      <alignment readingOrder="0"/>
    </xf>
    <xf borderId="39" fillId="0" fontId="6" numFmtId="0" xfId="0" applyAlignment="1" applyBorder="1" applyFont="1">
      <alignment horizontal="center" readingOrder="0"/>
    </xf>
    <xf borderId="10" fillId="0" fontId="6" numFmtId="0" xfId="0" applyAlignment="1" applyBorder="1" applyFont="1">
      <alignment readingOrder="0"/>
    </xf>
    <xf borderId="40" fillId="0" fontId="6" numFmtId="0" xfId="0" applyAlignment="1" applyBorder="1" applyFont="1">
      <alignment horizontal="center"/>
    </xf>
    <xf borderId="23" fillId="0" fontId="6" numFmtId="0" xfId="0" applyAlignment="1" applyBorder="1" applyFont="1">
      <alignment horizontal="center" readingOrder="0"/>
    </xf>
    <xf borderId="41" fillId="0" fontId="6" numFmtId="0" xfId="0" applyBorder="1" applyFont="1"/>
    <xf borderId="41" fillId="0" fontId="6" numFmtId="9" xfId="0" applyAlignment="1" applyBorder="1" applyFont="1" applyNumberFormat="1">
      <alignment horizontal="center"/>
    </xf>
    <xf borderId="42" fillId="0" fontId="6" numFmtId="0" xfId="0" applyAlignment="1" applyBorder="1" applyFont="1">
      <alignment horizontal="center"/>
    </xf>
    <xf borderId="10" fillId="19" fontId="0" numFmtId="0" xfId="0" applyAlignment="1" applyBorder="1" applyFont="1">
      <alignment horizontal="center" readingOrder="0"/>
    </xf>
    <xf borderId="0" fillId="0" fontId="0" numFmtId="4" xfId="0" applyAlignment="1" applyFont="1" applyNumberFormat="1">
      <alignment horizontal="center" readingOrder="0" shrinkToFit="0" vertical="center" wrapText="1"/>
    </xf>
    <xf borderId="0" fillId="6" fontId="0" numFmtId="0" xfId="0" applyAlignment="1" applyFont="1">
      <alignment horizontal="center" readingOrder="0" shrinkToFit="0" vertical="center" wrapText="1"/>
    </xf>
    <xf borderId="10" fillId="0" fontId="5" numFmtId="10" xfId="0" applyAlignment="1" applyBorder="1" applyFont="1" applyNumberFormat="1">
      <alignment horizontal="center" readingOrder="0"/>
    </xf>
    <xf borderId="17" fillId="0" fontId="0" numFmtId="0" xfId="0" applyAlignment="1" applyBorder="1" applyFont="1">
      <alignment horizontal="center" shrinkToFit="0" vertical="center" wrapText="1"/>
    </xf>
    <xf borderId="17" fillId="0" fontId="0" numFmtId="0" xfId="0" applyAlignment="1" applyBorder="1" applyFont="1">
      <alignment horizontal="center" readingOrder="0" shrinkToFit="0" vertical="center" wrapText="1"/>
    </xf>
    <xf borderId="17" fillId="0" fontId="0" numFmtId="3" xfId="0" applyAlignment="1" applyBorder="1" applyFont="1" applyNumberFormat="1">
      <alignment horizontal="center" shrinkToFit="0" vertical="center" wrapText="1"/>
    </xf>
    <xf borderId="17" fillId="0" fontId="0" numFmtId="10" xfId="0" applyAlignment="1" applyBorder="1" applyFont="1" applyNumberFormat="1">
      <alignment horizontal="center" shrinkToFit="0" vertical="center" wrapText="1"/>
    </xf>
    <xf borderId="0" fillId="26" fontId="9" numFmtId="3" xfId="0" applyAlignment="1" applyFont="1" applyNumberFormat="1">
      <alignment horizontal="right" shrinkToFit="0" vertical="center" wrapText="1"/>
    </xf>
    <xf borderId="0" fillId="26" fontId="12" numFmtId="3" xfId="0" applyAlignment="1" applyFont="1" applyNumberFormat="1">
      <alignment horizontal="center"/>
    </xf>
    <xf borderId="0" fillId="26" fontId="9" numFmtId="10" xfId="0" applyAlignment="1" applyFont="1" applyNumberFormat="1">
      <alignment horizontal="center" shrinkToFit="0" vertical="center" wrapText="1"/>
    </xf>
    <xf borderId="0" fillId="0" fontId="0" numFmtId="4" xfId="0" applyAlignment="1" applyFont="1" applyNumberFormat="1">
      <alignment horizontal="center" shrinkToFit="0" vertical="center" wrapText="1"/>
    </xf>
    <xf borderId="15" fillId="19" fontId="16" numFmtId="0" xfId="0" applyAlignment="1" applyBorder="1" applyFont="1">
      <alignment horizontal="center" vertical="bottom"/>
    </xf>
    <xf borderId="15" fillId="19" fontId="16" numFmtId="9" xfId="0" applyAlignment="1" applyBorder="1" applyFont="1" applyNumberFormat="1">
      <alignment horizontal="center" vertical="bottom"/>
    </xf>
    <xf borderId="10" fillId="0" fontId="0" numFmtId="3" xfId="0" applyAlignment="1" applyBorder="1" applyFont="1" applyNumberFormat="1">
      <alignment horizontal="left" readingOrder="0" shrinkToFit="0" vertical="center" wrapText="1"/>
    </xf>
    <xf borderId="10" fillId="0" fontId="6" numFmtId="3" xfId="0" applyAlignment="1" applyBorder="1" applyFont="1" applyNumberFormat="1">
      <alignment readingOrder="0"/>
    </xf>
    <xf borderId="10" fillId="22" fontId="9" numFmtId="166" xfId="0" applyAlignment="1" applyBorder="1" applyFont="1" applyNumberFormat="1">
      <alignment horizontal="right"/>
    </xf>
    <xf borderId="10" fillId="22" fontId="9" numFmtId="165" xfId="0" applyAlignment="1" applyBorder="1" applyFont="1" applyNumberFormat="1">
      <alignment horizontal="right"/>
    </xf>
    <xf borderId="10" fillId="0" fontId="0" numFmtId="0" xfId="0" applyAlignment="1" applyBorder="1" applyFont="1">
      <alignment horizontal="left" readingOrder="0" shrinkToFit="0" vertical="center" wrapText="1"/>
    </xf>
    <xf borderId="10" fillId="0" fontId="6" numFmtId="166" xfId="0" applyBorder="1" applyFont="1" applyNumberFormat="1"/>
    <xf borderId="10" fillId="0" fontId="6" numFmtId="0" xfId="0" applyAlignment="1" applyBorder="1" applyFont="1">
      <alignment horizontal="left" readingOrder="0"/>
    </xf>
    <xf borderId="10" fillId="0" fontId="6" numFmtId="3" xfId="0" applyBorder="1" applyFont="1" applyNumberFormat="1"/>
    <xf borderId="0" fillId="26" fontId="12" numFmtId="0" xfId="0" applyAlignment="1" applyFont="1">
      <alignment horizontal="left" readingOrder="0"/>
    </xf>
    <xf borderId="0" fillId="26" fontId="12" numFmtId="10" xfId="0" applyFont="1" applyNumberFormat="1"/>
    <xf borderId="10" fillId="0" fontId="6" numFmtId="165" xfId="0" applyBorder="1" applyFont="1" applyNumberFormat="1"/>
    <xf borderId="10" fillId="0" fontId="26" numFmtId="0" xfId="0" applyAlignment="1" applyBorder="1" applyFont="1">
      <alignment horizontal="left" readingOrder="0"/>
    </xf>
    <xf borderId="10" fillId="0" fontId="26" numFmtId="166" xfId="0" applyBorder="1" applyFont="1" applyNumberFormat="1"/>
    <xf borderId="10" fillId="22" fontId="9" numFmtId="178" xfId="0" applyAlignment="1" applyBorder="1" applyFont="1" applyNumberFormat="1">
      <alignment horizontal="right"/>
    </xf>
    <xf borderId="10" fillId="6" fontId="12" numFmtId="177" xfId="0" applyAlignment="1" applyBorder="1" applyFont="1" applyNumberFormat="1">
      <alignment horizontal="center"/>
    </xf>
    <xf borderId="10" fillId="25" fontId="25" numFmtId="10" xfId="0" applyAlignment="1" applyBorder="1" applyFont="1" applyNumberFormat="1">
      <alignment horizontal="center" readingOrder="0"/>
    </xf>
    <xf borderId="0" fillId="12" fontId="25" numFmtId="10" xfId="0" applyAlignment="1" applyFont="1" applyNumberFormat="1">
      <alignment horizontal="center" readingOrder="0"/>
    </xf>
    <xf borderId="10" fillId="0" fontId="5" numFmtId="10" xfId="0" applyAlignment="1" applyBorder="1" applyFont="1" applyNumberFormat="1">
      <alignment horizontal="center" readingOrder="0"/>
    </xf>
    <xf borderId="0" fillId="12" fontId="5" numFmtId="10" xfId="0" applyAlignment="1" applyFont="1" applyNumberFormat="1">
      <alignment horizontal="center" readingOrder="0"/>
    </xf>
    <xf borderId="10" fillId="0" fontId="12" numFmtId="10" xfId="0" applyAlignment="1" applyBorder="1" applyFont="1" applyNumberFormat="1">
      <alignment horizontal="center"/>
    </xf>
    <xf borderId="0" fillId="0" fontId="12" numFmtId="10" xfId="0" applyAlignment="1" applyFont="1" applyNumberFormat="1">
      <alignment horizontal="center"/>
    </xf>
    <xf borderId="13" fillId="27" fontId="25" numFmtId="0" xfId="0" applyAlignment="1" applyBorder="1" applyFill="1" applyFont="1">
      <alignment horizontal="center" readingOrder="0"/>
    </xf>
    <xf borderId="14" fillId="27" fontId="1" numFmtId="0" xfId="0" applyBorder="1" applyFont="1"/>
    <xf borderId="0" fillId="12" fontId="25" numFmtId="0" xfId="0" applyAlignment="1" applyFont="1">
      <alignment horizontal="center" readingOrder="0"/>
    </xf>
    <xf borderId="10" fillId="12" fontId="9" numFmtId="0" xfId="0" applyAlignment="1" applyBorder="1" applyFont="1">
      <alignment horizontal="left" readingOrder="0"/>
    </xf>
    <xf borderId="10" fillId="12" fontId="9" numFmtId="166" xfId="0" applyAlignment="1" applyBorder="1" applyFont="1" applyNumberFormat="1">
      <alignment horizontal="center"/>
    </xf>
    <xf borderId="10" fillId="26" fontId="9" numFmtId="0" xfId="0" applyAlignment="1" applyBorder="1" applyFont="1">
      <alignment horizontal="left" readingOrder="0" shrinkToFit="0" vertical="center" wrapText="1"/>
    </xf>
    <xf borderId="10" fillId="26" fontId="9" numFmtId="166" xfId="0" applyAlignment="1" applyBorder="1" applyFont="1" applyNumberFormat="1">
      <alignment horizontal="center"/>
    </xf>
    <xf borderId="10" fillId="12" fontId="0" numFmtId="0" xfId="0" applyAlignment="1" applyBorder="1" applyFont="1">
      <alignment horizontal="left" readingOrder="0"/>
    </xf>
    <xf borderId="10" fillId="12" fontId="0" numFmtId="166" xfId="0" applyAlignment="1" applyBorder="1" applyFont="1" applyNumberFormat="1">
      <alignment horizontal="center"/>
    </xf>
    <xf borderId="10" fillId="26" fontId="0" numFmtId="0" xfId="0" applyAlignment="1" applyBorder="1" applyFont="1">
      <alignment horizontal="left" readingOrder="0"/>
    </xf>
    <xf borderId="10" fillId="26" fontId="0" numFmtId="166" xfId="0" applyAlignment="1" applyBorder="1" applyFont="1" applyNumberFormat="1">
      <alignment horizontal="center"/>
    </xf>
    <xf borderId="0" fillId="12" fontId="0" numFmtId="0" xfId="0" applyAlignment="1" applyFont="1">
      <alignment horizontal="center" readingOrder="0"/>
    </xf>
    <xf borderId="10" fillId="26" fontId="9" numFmtId="0" xfId="0" applyAlignment="1" applyBorder="1" applyFont="1">
      <alignment horizontal="left" readingOrder="0"/>
    </xf>
    <xf borderId="10" fillId="19" fontId="34" numFmtId="9" xfId="0" applyAlignment="1" applyBorder="1" applyFont="1" applyNumberFormat="1">
      <alignment horizontal="center" readingOrder="0"/>
    </xf>
    <xf borderId="43" fillId="0" fontId="0" numFmtId="0" xfId="0" applyAlignment="1" applyBorder="1" applyFont="1">
      <alignment horizontal="center" shrinkToFit="0" vertical="center" wrapText="1"/>
    </xf>
    <xf borderId="44" fillId="0" fontId="1" numFmtId="0" xfId="0" applyBorder="1" applyFont="1"/>
    <xf borderId="45" fillId="0" fontId="1" numFmtId="0" xfId="0" applyBorder="1" applyFont="1"/>
    <xf borderId="0" fillId="0" fontId="9" numFmtId="166" xfId="0" applyAlignment="1" applyFont="1" applyNumberFormat="1">
      <alignment horizontal="center"/>
    </xf>
    <xf borderId="10" fillId="24" fontId="12" numFmtId="0" xfId="0" applyAlignment="1" applyBorder="1" applyFont="1">
      <alignment horizontal="center" readingOrder="0"/>
    </xf>
    <xf borderId="13" fillId="24" fontId="12" numFmtId="0" xfId="0" applyAlignment="1" applyBorder="1" applyFont="1">
      <alignment horizontal="center" readingOrder="0"/>
    </xf>
    <xf borderId="0" fillId="0" fontId="7" numFmtId="0" xfId="0" applyAlignment="1" applyFont="1">
      <alignment horizontal="center"/>
    </xf>
    <xf borderId="13" fillId="0" fontId="7" numFmtId="0" xfId="0" applyAlignment="1" applyBorder="1" applyFont="1">
      <alignment horizontal="center"/>
    </xf>
    <xf borderId="10" fillId="0" fontId="7" numFmtId="0" xfId="0" applyAlignment="1" applyBorder="1" applyFont="1">
      <alignment horizontal="center"/>
    </xf>
    <xf borderId="10" fillId="0" fontId="7" numFmtId="0" xfId="0" applyAlignment="1" applyBorder="1" applyFont="1">
      <alignment horizontal="right"/>
    </xf>
    <xf borderId="10" fillId="0" fontId="7" numFmtId="3" xfId="0" applyAlignment="1" applyBorder="1" applyFont="1" applyNumberFormat="1">
      <alignment horizontal="right"/>
    </xf>
    <xf borderId="10" fillId="0" fontId="7" numFmtId="0" xfId="0" applyAlignment="1" applyBorder="1" applyFont="1">
      <alignment horizontal="center" readingOrder="0"/>
    </xf>
    <xf borderId="10" fillId="0" fontId="35" numFmtId="0" xfId="0" applyAlignment="1" applyBorder="1" applyFont="1">
      <alignment horizontal="right"/>
    </xf>
    <xf borderId="0" fillId="0" fontId="6" numFmtId="0" xfId="0" applyAlignment="1" applyFont="1">
      <alignment readingOrder="0"/>
    </xf>
    <xf borderId="20" fillId="7" fontId="11" numFmtId="0" xfId="0" applyAlignment="1" applyBorder="1" applyFont="1">
      <alignment horizontal="center"/>
    </xf>
    <xf borderId="46" fillId="0" fontId="1" numFmtId="0" xfId="0" applyBorder="1" applyFont="1"/>
    <xf borderId="47" fillId="0" fontId="1" numFmtId="0" xfId="0" applyBorder="1" applyFont="1"/>
    <xf borderId="17" fillId="7" fontId="11" numFmtId="4" xfId="0" applyAlignment="1" applyBorder="1" applyFont="1" applyNumberFormat="1">
      <alignment horizontal="center"/>
    </xf>
    <xf borderId="17" fillId="7" fontId="11" numFmtId="166" xfId="0" applyAlignment="1" applyBorder="1" applyFont="1" applyNumberFormat="1">
      <alignment horizontal="center"/>
    </xf>
    <xf borderId="17" fillId="0" fontId="0" numFmtId="0" xfId="0" applyAlignment="1" applyBorder="1" applyFont="1">
      <alignment horizontal="center" readingOrder="0"/>
    </xf>
    <xf borderId="17" fillId="0" fontId="0" numFmtId="0" xfId="0" applyAlignment="1" applyBorder="1" applyFont="1">
      <alignment horizontal="center"/>
    </xf>
    <xf borderId="17" fillId="8" fontId="0" numFmtId="0" xfId="0" applyAlignment="1" applyBorder="1" applyFont="1">
      <alignment horizontal="center"/>
    </xf>
    <xf borderId="17" fillId="6" fontId="0" numFmtId="166" xfId="0" applyAlignment="1" applyBorder="1" applyFont="1" applyNumberFormat="1">
      <alignment horizontal="center" readingOrder="0"/>
    </xf>
    <xf borderId="17" fillId="8" fontId="0" numFmtId="0" xfId="0" applyAlignment="1" applyBorder="1" applyFont="1">
      <alignment horizontal="center" readingOrder="0"/>
    </xf>
    <xf borderId="17" fillId="6" fontId="5" numFmtId="166" xfId="0" applyAlignment="1" applyBorder="1" applyFont="1" applyNumberFormat="1">
      <alignment horizontal="center" readingOrder="0"/>
    </xf>
    <xf borderId="17" fillId="6" fontId="5" numFmtId="0" xfId="0" applyAlignment="1" applyBorder="1" applyFont="1">
      <alignment horizontal="center" readingOrder="0"/>
    </xf>
    <xf borderId="17" fillId="0" fontId="0" numFmtId="166" xfId="0" applyAlignment="1" applyBorder="1" applyFont="1" applyNumberFormat="1">
      <alignment horizontal="center"/>
    </xf>
    <xf borderId="17" fillId="0" fontId="0" numFmtId="10" xfId="0" applyAlignment="1" applyBorder="1" applyFont="1" applyNumberFormat="1">
      <alignment horizontal="center" readingOrder="0"/>
    </xf>
    <xf borderId="17" fillId="0" fontId="0" numFmtId="0" xfId="0" applyAlignment="1" applyBorder="1" applyFont="1">
      <alignment horizontal="center"/>
    </xf>
    <xf borderId="17" fillId="6" fontId="0" numFmtId="9" xfId="0" applyAlignment="1" applyBorder="1" applyFont="1" applyNumberFormat="1">
      <alignment horizontal="center" readingOrder="0"/>
    </xf>
    <xf borderId="17" fillId="0" fontId="3" numFmtId="0" xfId="0" applyAlignment="1" applyBorder="1" applyFont="1">
      <alignment horizontal="center" shrinkToFit="0" vertical="center" wrapText="1"/>
    </xf>
    <xf borderId="17" fillId="0" fontId="0" numFmtId="166" xfId="0" applyAlignment="1" applyBorder="1" applyFont="1" applyNumberFormat="1">
      <alignment horizontal="center"/>
    </xf>
    <xf borderId="17" fillId="6" fontId="5" numFmtId="1" xfId="0" applyAlignment="1" applyBorder="1" applyFont="1" applyNumberFormat="1">
      <alignment horizontal="center" readingOrder="0"/>
    </xf>
    <xf borderId="17" fillId="6" fontId="0" numFmtId="10" xfId="0" applyAlignment="1" applyBorder="1" applyFont="1" applyNumberFormat="1">
      <alignment horizontal="center"/>
    </xf>
    <xf borderId="17" fillId="6" fontId="5" numFmtId="10" xfId="0" applyAlignment="1" applyBorder="1" applyFont="1" applyNumberFormat="1">
      <alignment horizontal="center" readingOrder="0"/>
    </xf>
    <xf borderId="17" fillId="8" fontId="5" numFmtId="0" xfId="0" applyAlignment="1" applyBorder="1" applyFont="1">
      <alignment horizontal="center" readingOrder="0"/>
    </xf>
    <xf borderId="17" fillId="28" fontId="6" numFmtId="0" xfId="0" applyAlignment="1" applyBorder="1" applyFill="1" applyFont="1">
      <alignment horizontal="center" readingOrder="0"/>
    </xf>
    <xf borderId="17" fillId="29" fontId="6" numFmtId="0" xfId="0" applyAlignment="1" applyBorder="1" applyFill="1" applyFont="1">
      <alignment horizontal="center" readingOrder="0"/>
    </xf>
    <xf borderId="17" fillId="0" fontId="9" numFmtId="0" xfId="0" applyAlignment="1" applyBorder="1" applyFont="1">
      <alignment horizontal="center"/>
    </xf>
    <xf borderId="17" fillId="0" fontId="9" numFmtId="166" xfId="0" applyAlignment="1" applyBorder="1" applyFont="1" applyNumberFormat="1">
      <alignment horizontal="center"/>
    </xf>
    <xf borderId="17" fillId="6" fontId="0" numFmtId="0" xfId="0" applyAlignment="1" applyBorder="1" applyFont="1">
      <alignment horizontal="center" readingOrder="0"/>
    </xf>
    <xf borderId="17" fillId="30" fontId="0" numFmtId="0" xfId="0" applyAlignment="1" applyBorder="1" applyFill="1" applyFont="1">
      <alignment readingOrder="0"/>
    </xf>
    <xf borderId="17" fillId="30" fontId="0" numFmtId="166" xfId="0" applyBorder="1" applyFont="1" applyNumberFormat="1"/>
    <xf borderId="17" fillId="0" fontId="7" numFmtId="0" xfId="0" applyAlignment="1" applyBorder="1" applyFont="1">
      <alignment horizontal="center" readingOrder="0"/>
    </xf>
    <xf borderId="17" fillId="3" fontId="8" numFmtId="165" xfId="0" applyAlignment="1" applyBorder="1" applyFont="1" applyNumberFormat="1">
      <alignment horizontal="center" readingOrder="0"/>
    </xf>
    <xf borderId="48" fillId="4" fontId="0" numFmtId="0" xfId="0" applyAlignment="1" applyBorder="1" applyFont="1">
      <alignment horizontal="center" shrinkToFit="0" textRotation="90" vertical="center" wrapText="1"/>
    </xf>
    <xf borderId="49" fillId="9" fontId="9" numFmtId="0" xfId="0" applyAlignment="1" applyBorder="1" applyFont="1">
      <alignment readingOrder="0"/>
    </xf>
    <xf borderId="17" fillId="9" fontId="9" numFmtId="166" xfId="0" applyBorder="1" applyFont="1" applyNumberFormat="1"/>
    <xf borderId="17" fillId="31" fontId="0" numFmtId="0" xfId="0" applyAlignment="1" applyBorder="1" applyFill="1" applyFont="1">
      <alignment horizontal="center" readingOrder="0"/>
    </xf>
    <xf borderId="17" fillId="31" fontId="0" numFmtId="166" xfId="0" applyAlignment="1" applyBorder="1" applyFont="1" applyNumberFormat="1">
      <alignment horizontal="center" readingOrder="0"/>
    </xf>
    <xf borderId="17" fillId="6" fontId="8" numFmtId="9" xfId="0" applyAlignment="1" applyBorder="1" applyFont="1" applyNumberFormat="1">
      <alignment horizontal="center" readingOrder="0"/>
    </xf>
    <xf borderId="50" fillId="0" fontId="1" numFmtId="0" xfId="0" applyBorder="1" applyFont="1"/>
    <xf borderId="49" fillId="10" fontId="9" numFmtId="0" xfId="0" applyAlignment="1" applyBorder="1" applyFont="1">
      <alignment readingOrder="0"/>
    </xf>
    <xf borderId="17" fillId="10" fontId="9" numFmtId="166" xfId="0" applyBorder="1" applyFont="1" applyNumberFormat="1"/>
    <xf borderId="17" fillId="13" fontId="0" numFmtId="0" xfId="0" applyAlignment="1" applyBorder="1" applyFont="1">
      <alignment horizontal="center" readingOrder="0"/>
    </xf>
    <xf borderId="17" fillId="13" fontId="0" numFmtId="0" xfId="0" applyAlignment="1" applyBorder="1" applyFont="1">
      <alignment horizontal="center"/>
    </xf>
    <xf borderId="17" fillId="0" fontId="0" numFmtId="0" xfId="0" applyAlignment="1" applyBorder="1" applyFont="1">
      <alignment horizontal="center" readingOrder="0"/>
    </xf>
    <xf borderId="17" fillId="0" fontId="0" numFmtId="179" xfId="0" applyAlignment="1" applyBorder="1" applyFont="1" applyNumberFormat="1">
      <alignment horizontal="center"/>
    </xf>
    <xf borderId="17" fillId="0" fontId="0" numFmtId="166" xfId="0" applyAlignment="1" applyBorder="1" applyFont="1" applyNumberFormat="1">
      <alignment horizontal="center" readingOrder="0"/>
    </xf>
    <xf borderId="17" fillId="8" fontId="5" numFmtId="166" xfId="0" applyAlignment="1" applyBorder="1" applyFont="1" applyNumberFormat="1">
      <alignment horizontal="center" readingOrder="0"/>
    </xf>
    <xf borderId="0" fillId="0" fontId="36" numFmtId="0" xfId="0" applyAlignment="1" applyFont="1">
      <alignment horizontal="center" readingOrder="0" shrinkToFit="0" vertical="center" wrapText="1"/>
    </xf>
    <xf borderId="17" fillId="3" fontId="8" numFmtId="10" xfId="0" applyAlignment="1" applyBorder="1" applyFont="1" applyNumberFormat="1">
      <alignment horizontal="center" readingOrder="0"/>
    </xf>
    <xf borderId="27" fillId="0" fontId="1" numFmtId="0" xfId="0" applyBorder="1" applyFont="1"/>
    <xf borderId="20" fillId="16" fontId="11" numFmtId="0" xfId="0" applyAlignment="1" applyBorder="1" applyFont="1">
      <alignment horizontal="center"/>
    </xf>
    <xf borderId="47" fillId="16" fontId="1" numFmtId="0" xfId="0" applyBorder="1" applyFont="1"/>
    <xf borderId="48" fillId="32" fontId="14" numFmtId="0" xfId="0" applyAlignment="1" applyBorder="1" applyFill="1" applyFont="1">
      <alignment horizontal="center" vertical="center"/>
    </xf>
    <xf borderId="48" fillId="33" fontId="8" numFmtId="166" xfId="0" applyAlignment="1" applyBorder="1" applyFill="1" applyFont="1" applyNumberFormat="1">
      <alignment horizontal="center" vertical="center"/>
    </xf>
    <xf borderId="17" fillId="12" fontId="5" numFmtId="0" xfId="0" applyAlignment="1" applyBorder="1" applyFont="1">
      <alignment horizontal="center" readingOrder="0"/>
    </xf>
    <xf borderId="17" fillId="12" fontId="0" numFmtId="166" xfId="0" applyAlignment="1" applyBorder="1" applyFont="1" applyNumberFormat="1">
      <alignment horizontal="center" readingOrder="0"/>
    </xf>
    <xf borderId="17" fillId="28" fontId="0" numFmtId="0" xfId="0" applyAlignment="1" applyBorder="1" applyFont="1">
      <alignment horizontal="center"/>
    </xf>
    <xf borderId="17" fillId="28" fontId="0" numFmtId="166" xfId="0" applyAlignment="1" applyBorder="1" applyFont="1" applyNumberFormat="1">
      <alignment horizontal="center"/>
    </xf>
    <xf borderId="17" fillId="0" fontId="9" numFmtId="166" xfId="0" applyAlignment="1" applyBorder="1" applyFont="1" applyNumberFormat="1">
      <alignment horizontal="center" readingOrder="0"/>
    </xf>
    <xf borderId="17" fillId="6" fontId="8" numFmtId="166" xfId="0" applyAlignment="1" applyBorder="1" applyFont="1" applyNumberFormat="1">
      <alignment readingOrder="0"/>
    </xf>
    <xf borderId="17" fillId="3" fontId="12" numFmtId="0" xfId="0" applyAlignment="1" applyBorder="1" applyFont="1">
      <alignment horizontal="center" readingOrder="0"/>
    </xf>
    <xf borderId="17" fillId="3" fontId="12" numFmtId="165" xfId="0" applyBorder="1" applyFont="1" applyNumberFormat="1"/>
    <xf borderId="17" fillId="12" fontId="5" numFmtId="166" xfId="0" applyAlignment="1" applyBorder="1" applyFont="1" applyNumberFormat="1">
      <alignment horizontal="center" readingOrder="0"/>
    </xf>
    <xf borderId="17" fillId="32" fontId="14" numFmtId="0" xfId="0" applyAlignment="1" applyBorder="1" applyFont="1">
      <alignment horizontal="center" readingOrder="0" vertical="center"/>
    </xf>
    <xf borderId="17" fillId="0" fontId="0" numFmtId="169" xfId="0" applyAlignment="1" applyBorder="1" applyFont="1" applyNumberFormat="1">
      <alignment horizontal="center" vertical="center"/>
    </xf>
    <xf borderId="48" fillId="32" fontId="14" numFmtId="0" xfId="0" applyAlignment="1" applyBorder="1" applyFont="1">
      <alignment horizontal="center" readingOrder="0" vertical="center"/>
    </xf>
    <xf borderId="48" fillId="0" fontId="0" numFmtId="169" xfId="0" applyAlignment="1" applyBorder="1" applyFont="1" applyNumberFormat="1">
      <alignment horizontal="center" vertical="center"/>
    </xf>
    <xf borderId="17" fillId="12" fontId="0" numFmtId="0" xfId="0" applyAlignment="1" applyBorder="1" applyFont="1">
      <alignment horizontal="center"/>
    </xf>
    <xf borderId="17" fillId="12" fontId="0" numFmtId="166" xfId="0" applyAlignment="1" applyBorder="1" applyFont="1" applyNumberFormat="1">
      <alignment horizontal="center"/>
    </xf>
    <xf borderId="20" fillId="34" fontId="6" numFmtId="0" xfId="0" applyAlignment="1" applyBorder="1" applyFill="1" applyFont="1">
      <alignment horizontal="center" readingOrder="0"/>
    </xf>
    <xf borderId="17" fillId="34" fontId="6" numFmtId="10" xfId="0" applyAlignment="1" applyBorder="1" applyFont="1" applyNumberFormat="1">
      <alignment horizontal="center" readingOrder="0"/>
    </xf>
    <xf borderId="0" fillId="12" fontId="37" numFmtId="0" xfId="0" applyAlignment="1" applyFont="1">
      <alignment readingOrder="0"/>
    </xf>
    <xf borderId="17" fillId="35" fontId="7" numFmtId="0" xfId="0" applyAlignment="1" applyBorder="1" applyFill="1" applyFont="1">
      <alignment horizontal="center" readingOrder="0"/>
    </xf>
    <xf borderId="17" fillId="35" fontId="7" numFmtId="166" xfId="0" applyAlignment="1" applyBorder="1" applyFont="1" applyNumberFormat="1">
      <alignment horizontal="center" readingOrder="0"/>
    </xf>
    <xf borderId="17" fillId="0" fontId="9" numFmtId="0" xfId="0" applyAlignment="1" applyBorder="1" applyFont="1">
      <alignment horizontal="left" readingOrder="0"/>
    </xf>
    <xf borderId="17" fillId="0" fontId="9" numFmtId="10" xfId="0" applyAlignment="1" applyBorder="1" applyFont="1" applyNumberFormat="1">
      <alignment horizontal="left" readingOrder="0"/>
    </xf>
    <xf borderId="17" fillId="0" fontId="9" numFmtId="0" xfId="0" applyAlignment="1" applyBorder="1" applyFont="1">
      <alignment horizontal="left"/>
    </xf>
    <xf borderId="17" fillId="0" fontId="0" numFmtId="0" xfId="0" applyAlignment="1" applyBorder="1" applyFont="1">
      <alignment horizontal="left" readingOrder="0"/>
    </xf>
    <xf borderId="17" fillId="0" fontId="0" numFmtId="10" xfId="0" applyAlignment="1" applyBorder="1" applyFont="1" applyNumberFormat="1">
      <alignment horizontal="left" readingOrder="0"/>
    </xf>
    <xf borderId="17" fillId="0" fontId="0" numFmtId="3" xfId="0" applyAlignment="1" applyBorder="1" applyFont="1" applyNumberFormat="1">
      <alignment horizontal="right" readingOrder="0"/>
    </xf>
    <xf borderId="17" fillId="0" fontId="0" numFmtId="167" xfId="0" applyAlignment="1" applyBorder="1" applyFont="1" applyNumberFormat="1">
      <alignment horizontal="right"/>
    </xf>
    <xf borderId="17" fillId="0" fontId="7" numFmtId="0" xfId="0" applyAlignment="1" applyBorder="1" applyFont="1">
      <alignment horizontal="left" readingOrder="0"/>
    </xf>
    <xf borderId="17" fillId="0" fontId="9" numFmtId="3" xfId="0" applyAlignment="1" applyBorder="1" applyFont="1" applyNumberFormat="1">
      <alignment horizontal="right"/>
    </xf>
    <xf borderId="17" fillId="0" fontId="9" numFmtId="167" xfId="0" applyAlignment="1" applyBorder="1" applyFont="1" applyNumberFormat="1">
      <alignment horizontal="right"/>
    </xf>
  </cellXfs>
  <cellStyles count="1">
    <cellStyle xfId="0" name="Normal" builtinId="0"/>
  </cellStyles>
  <dxfs count="15">
    <dxf>
      <font/>
      <fill>
        <patternFill patternType="none"/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  <tableStyles count="79">
    <tableStyle count="3" pivot="0" name="PRICING PLANTILLA-style">
      <tableStyleElement dxfId="1" type="headerRow"/>
      <tableStyleElement dxfId="2" type="firstRowStripe"/>
      <tableStyleElement dxfId="3" type="secondRowStripe"/>
    </tableStyle>
    <tableStyle count="3" pivot="0" name="Parámetros-style">
      <tableStyleElement dxfId="4" type="headerRow"/>
      <tableStyleElement dxfId="2" type="firstRowStripe"/>
      <tableStyleElement dxfId="5" type="secondRowStripe"/>
    </tableStyle>
    <tableStyle count="2" pivot="0" name="Parámetros-style 2">
      <tableStyleElement dxfId="2" type="firstRowStripe"/>
      <tableStyleElement dxfId="5" type="secondRowStripe"/>
    </tableStyle>
    <tableStyle count="2" pivot="0" name="Parámetros-style 3">
      <tableStyleElement dxfId="2" type="firstRowStripe"/>
      <tableStyleElement dxfId="5" type="secondRowStripe"/>
    </tableStyle>
    <tableStyle count="2" pivot="0" name="Parámetros-style 4">
      <tableStyleElement dxfId="2" type="firstRowStripe"/>
      <tableStyleElement dxfId="5" type="secondRowStripe"/>
    </tableStyle>
    <tableStyle count="2" pivot="0" name="Parámetros-style 5">
      <tableStyleElement dxfId="2" type="firstRowStripe"/>
      <tableStyleElement dxfId="5" type="secondRowStripe"/>
    </tableStyle>
    <tableStyle count="2" pivot="0" name="Parámetros-style 6">
      <tableStyleElement dxfId="5" type="firstRowStripe"/>
      <tableStyleElement dxfId="2" type="secondRowStripe"/>
    </tableStyle>
    <tableStyle count="2" pivot="0" name="Parámetros-style 7">
      <tableStyleElement dxfId="5" type="firstRowStripe"/>
      <tableStyleElement dxfId="2" type="secondRowStripe"/>
    </tableStyle>
    <tableStyle count="2" pivot="0" name="Parámetros-style 8">
      <tableStyleElement dxfId="5" type="firstRowStripe"/>
      <tableStyleElement dxfId="2" type="secondRowStripe"/>
    </tableStyle>
    <tableStyle count="2" pivot="0" name="Parámetros-style 9">
      <tableStyleElement dxfId="5" type="firstRowStripe"/>
      <tableStyleElement dxfId="2" type="secondRowStripe"/>
    </tableStyle>
    <tableStyle count="2" pivot="0" name="Parámetros-style 10">
      <tableStyleElement dxfId="2" type="firstRowStripe"/>
      <tableStyleElement dxfId="5" type="secondRowStripe"/>
    </tableStyle>
    <tableStyle count="2" pivot="0" name="Parámetros-style 11">
      <tableStyleElement dxfId="5" type="firstRowStripe"/>
      <tableStyleElement dxfId="2" type="secondRowStripe"/>
    </tableStyle>
    <tableStyle count="2" pivot="0" name="Parámetros-style 12">
      <tableStyleElement dxfId="5" type="firstRowStripe"/>
      <tableStyleElement dxfId="2" type="secondRowStripe"/>
    </tableStyle>
    <tableStyle count="3" pivot="0" name="Parámetros-style 13">
      <tableStyleElement dxfId="4" type="headerRow"/>
      <tableStyleElement dxfId="2" type="firstRowStripe"/>
      <tableStyleElement dxfId="5" type="secondRowStripe"/>
    </tableStyle>
    <tableStyle count="2" pivot="0" name="Parámetros-style 14">
      <tableStyleElement dxfId="2" type="firstRowStripe"/>
      <tableStyleElement dxfId="5" type="secondRowStripe"/>
    </tableStyle>
    <tableStyle count="2" pivot="0" name="Parámetros-style 15">
      <tableStyleElement dxfId="2" type="firstRowStripe"/>
      <tableStyleElement dxfId="5" type="secondRowStripe"/>
    </tableStyle>
    <tableStyle count="2" pivot="0" name="Parámetros-style 16">
      <tableStyleElement dxfId="2" type="firstRowStripe"/>
      <tableStyleElement dxfId="5" type="secondRowStripe"/>
    </tableStyle>
    <tableStyle count="2" pivot="0" name="Parámetros-style 17">
      <tableStyleElement dxfId="2" type="firstRowStripe"/>
      <tableStyleElement dxfId="5" type="secondRowStripe"/>
    </tableStyle>
    <tableStyle count="3" pivot="0" name="Parámetros-style 18">
      <tableStyleElement dxfId="4" type="headerRow"/>
      <tableStyleElement dxfId="2" type="firstRowStripe"/>
      <tableStyleElement dxfId="5" type="secondRowStripe"/>
    </tableStyle>
    <tableStyle count="2" pivot="0" name="Parámetros-style 19">
      <tableStyleElement dxfId="2" type="firstRowStripe"/>
      <tableStyleElement dxfId="5" type="secondRowStripe"/>
    </tableStyle>
    <tableStyle count="2" pivot="0" name="Parámetros-style 20">
      <tableStyleElement dxfId="2" type="firstRowStripe"/>
      <tableStyleElement dxfId="5" type="secondRowStripe"/>
    </tableStyle>
    <tableStyle count="2" pivot="0" name="Parámetros-style 21">
      <tableStyleElement dxfId="2" type="firstRowStripe"/>
      <tableStyleElement dxfId="5" type="secondRowStripe"/>
    </tableStyle>
    <tableStyle count="2" pivot="0" name="Parámetros-style 22">
      <tableStyleElement dxfId="2" type="firstRowStripe"/>
      <tableStyleElement dxfId="5" type="secondRowStripe"/>
    </tableStyle>
    <tableStyle count="2" pivot="0" name="Parámetros-style 23">
      <tableStyleElement dxfId="2" type="firstRowStripe"/>
      <tableStyleElement dxfId="5" type="secondRowStripe"/>
    </tableStyle>
    <tableStyle count="2" pivot="0" name="Parámetros-style 24">
      <tableStyleElement dxfId="5" type="firstRowStripe"/>
      <tableStyleElement dxfId="2" type="secondRowStripe"/>
    </tableStyle>
    <tableStyle count="2" pivot="0" name="Parámetros-style 25">
      <tableStyleElement dxfId="5" type="firstRowStripe"/>
      <tableStyleElement dxfId="2" type="secondRowStripe"/>
    </tableStyle>
    <tableStyle count="2" pivot="0" name="Parámetros-style 26">
      <tableStyleElement dxfId="5" type="firstRowStripe"/>
      <tableStyleElement dxfId="2" type="secondRowStripe"/>
    </tableStyle>
    <tableStyle count="3" pivot="0" name="Foward Deployed Enginnier-style">
      <tableStyleElement dxfId="6" type="headerRow"/>
      <tableStyleElement dxfId="2" type="firstRowStripe"/>
      <tableStyleElement dxfId="7" type="secondRowStripe"/>
    </tableStyle>
    <tableStyle count="3" pivot="0" name="Foward Deployed Enginnier-style 2">
      <tableStyleElement dxfId="6" type="headerRow"/>
      <tableStyleElement dxfId="2" type="firstRowStripe"/>
      <tableStyleElement dxfId="7" type="secondRowStripe"/>
    </tableStyle>
    <tableStyle count="3" pivot="0" name="Foward Deployed Enginnier-style 3">
      <tableStyleElement dxfId="6" type="headerRow"/>
      <tableStyleElement dxfId="2" type="firstRowStripe"/>
      <tableStyleElement dxfId="7" type="secondRowStripe"/>
    </tableStyle>
    <tableStyle count="3" pivot="0" name="Equipo Base-style">
      <tableStyleElement dxfId="6" type="headerRow"/>
      <tableStyleElement dxfId="2" type="firstRowStripe"/>
      <tableStyleElement dxfId="7" type="secondRowStripe"/>
    </tableStyle>
    <tableStyle count="3" pivot="0" name="Equipo Base-style 2">
      <tableStyleElement dxfId="6" type="headerRow"/>
      <tableStyleElement dxfId="2" type="firstRowStripe"/>
      <tableStyleElement dxfId="7" type="secondRowStripe"/>
    </tableStyle>
    <tableStyle count="3" pivot="0" name="Equipo Base-style 3">
      <tableStyleElement dxfId="6" type="headerRow"/>
      <tableStyleElement dxfId="2" type="firstRowStripe"/>
      <tableStyleElement dxfId="7" type="secondRowStripe"/>
    </tableStyle>
    <tableStyle count="3" pivot="0" name="Equipo con UX-style">
      <tableStyleElement dxfId="6" type="headerRow"/>
      <tableStyleElement dxfId="2" type="firstRowStripe"/>
      <tableStyleElement dxfId="7" type="secondRowStripe"/>
    </tableStyle>
    <tableStyle count="3" pivot="0" name="Equipo con UX-style 2">
      <tableStyleElement dxfId="6" type="headerRow"/>
      <tableStyleElement dxfId="2" type="firstRowStripe"/>
      <tableStyleElement dxfId="7" type="secondRowStripe"/>
    </tableStyle>
    <tableStyle count="3" pivot="0" name="Equipo con UX-style 3">
      <tableStyleElement dxfId="6" type="headerRow"/>
      <tableStyleElement dxfId="2" type="firstRowStripe"/>
      <tableStyleElement dxfId="7" type="secondRowStripe"/>
    </tableStyle>
    <tableStyle count="3" pivot="0" name="Equipo UX + Pm-style">
      <tableStyleElement dxfId="6" type="headerRow"/>
      <tableStyleElement dxfId="2" type="firstRowStripe"/>
      <tableStyleElement dxfId="7" type="secondRowStripe"/>
    </tableStyle>
    <tableStyle count="3" pivot="0" name="Equipo UX + Pm-style 2">
      <tableStyleElement dxfId="6" type="headerRow"/>
      <tableStyleElement dxfId="2" type="firstRowStripe"/>
      <tableStyleElement dxfId="7" type="secondRowStripe"/>
    </tableStyle>
    <tableStyle count="3" pivot="0" name="Equipo UX + Pm-style 3">
      <tableStyleElement dxfId="6" type="headerRow"/>
      <tableStyleElement dxfId="2" type="firstRowStripe"/>
      <tableStyleElement dxfId="7" type="secondRowStripe"/>
    </tableStyle>
    <tableStyle count="3" pivot="0" name="Equipo dos FDE-style">
      <tableStyleElement dxfId="6" type="headerRow"/>
      <tableStyleElement dxfId="2" type="firstRowStripe"/>
      <tableStyleElement dxfId="7" type="secondRowStripe"/>
    </tableStyle>
    <tableStyle count="3" pivot="0" name="Equipo dos FDE-style 2">
      <tableStyleElement dxfId="6" type="headerRow"/>
      <tableStyleElement dxfId="2" type="firstRowStripe"/>
      <tableStyleElement dxfId="7" type="secondRowStripe"/>
    </tableStyle>
    <tableStyle count="3" pivot="0" name="Equipo dos FDE-style 3">
      <tableStyleElement dxfId="6" type="headerRow"/>
      <tableStyleElement dxfId="2" type="firstRowStripe"/>
      <tableStyleElement dxfId="7" type="secondRowStripe"/>
    </tableStyle>
    <tableStyle count="3" pivot="0" name="Sprint MVP-style">
      <tableStyleElement dxfId="6" type="headerRow"/>
      <tableStyleElement dxfId="2" type="firstRowStripe"/>
      <tableStyleElement dxfId="7" type="secondRowStripe"/>
    </tableStyle>
    <tableStyle count="3" pivot="0" name="Sprint MVP-style 2">
      <tableStyleElement dxfId="6" type="headerRow"/>
      <tableStyleElement dxfId="2" type="firstRowStripe"/>
      <tableStyleElement dxfId="7" type="secondRowStripe"/>
    </tableStyle>
    <tableStyle count="3" pivot="0" name="Sprint MVP-style 3">
      <tableStyleElement dxfId="6" type="headerRow"/>
      <tableStyleElement dxfId="2" type="firstRowStripe"/>
      <tableStyleElement dxfId="7" type="secondRowStripe"/>
    </tableStyle>
    <tableStyle count="3" pivot="0" name="Copy of PRICING PLANTILLA  6-style">
      <tableStyleElement dxfId="6" type="headerRow"/>
      <tableStyleElement dxfId="2" type="firstRowStripe"/>
      <tableStyleElement dxfId="7" type="secondRowStripe"/>
    </tableStyle>
    <tableStyle count="3" pivot="0" name="Copy of PRICING PLANTILLA  6-style 2">
      <tableStyleElement dxfId="6" type="headerRow"/>
      <tableStyleElement dxfId="2" type="firstRowStripe"/>
      <tableStyleElement dxfId="7" type="secondRowStripe"/>
    </tableStyle>
    <tableStyle count="3" pivot="0" name="Copy of PRICING PLANTILLA  6-style 3">
      <tableStyleElement dxfId="6" type="headerRow"/>
      <tableStyleElement dxfId="2" type="firstRowStripe"/>
      <tableStyleElement dxfId="7" type="secondRowStripe"/>
    </tableStyle>
    <tableStyle count="3" pivot="0" name=" PRICING PLANTILLA  Itempo Equi-style">
      <tableStyleElement dxfId="6" type="headerRow"/>
      <tableStyleElement dxfId="2" type="firstRowStripe"/>
      <tableStyleElement dxfId="7" type="secondRowStripe"/>
    </tableStyle>
    <tableStyle count="3" pivot="0" name=" PRICING PLANTILLA  Itempo Equi-style 2">
      <tableStyleElement dxfId="6" type="headerRow"/>
      <tableStyleElement dxfId="2" type="firstRowStripe"/>
      <tableStyleElement dxfId="7" type="secondRowStripe"/>
    </tableStyle>
    <tableStyle count="3" pivot="0" name=" PRICING PLANTILLA  Itempo Equi-style 3">
      <tableStyleElement dxfId="6" type="headerRow"/>
      <tableStyleElement dxfId="2" type="firstRowStripe"/>
      <tableStyleElement dxfId="7" type="secondRowStripe"/>
    </tableStyle>
    <tableStyle count="3" pivot="0" name="Copy of PRICING PLANTILLA  5-style">
      <tableStyleElement dxfId="6" type="headerRow"/>
      <tableStyleElement dxfId="2" type="firstRowStripe"/>
      <tableStyleElement dxfId="7" type="secondRowStripe"/>
    </tableStyle>
    <tableStyle count="3" pivot="0" name="Copy of PRICING PLANTILLA  5-style 2">
      <tableStyleElement dxfId="6" type="headerRow"/>
      <tableStyleElement dxfId="2" type="firstRowStripe"/>
      <tableStyleElement dxfId="7" type="secondRowStripe"/>
    </tableStyle>
    <tableStyle count="3" pivot="0" name="Copy of PRICING PLANTILLA  5-style 3">
      <tableStyleElement dxfId="6" type="headerRow"/>
      <tableStyleElement dxfId="2" type="firstRowStripe"/>
      <tableStyleElement dxfId="7" type="secondRowStripe"/>
    </tableStyle>
    <tableStyle count="3" pivot="0" name="Copy of PRICING PLANTILLA  4-style">
      <tableStyleElement dxfId="6" type="headerRow"/>
      <tableStyleElement dxfId="2" type="firstRowStripe"/>
      <tableStyleElement dxfId="7" type="secondRowStripe"/>
    </tableStyle>
    <tableStyle count="3" pivot="0" name="Copy of PRICING PLANTILLA  4-style 2">
      <tableStyleElement dxfId="6" type="headerRow"/>
      <tableStyleElement dxfId="2" type="firstRowStripe"/>
      <tableStyleElement dxfId="7" type="secondRowStripe"/>
    </tableStyle>
    <tableStyle count="3" pivot="0" name="Copy of PRICING PLANTILLA  4-style 3">
      <tableStyleElement dxfId="6" type="headerRow"/>
      <tableStyleElement dxfId="2" type="firstRowStripe"/>
      <tableStyleElement dxfId="7" type="secondRowStripe"/>
    </tableStyle>
    <tableStyle count="3" pivot="0" name="Copy of PRICING PLANTILLA  3-style">
      <tableStyleElement dxfId="6" type="headerRow"/>
      <tableStyleElement dxfId="2" type="firstRowStripe"/>
      <tableStyleElement dxfId="7" type="secondRowStripe"/>
    </tableStyle>
    <tableStyle count="3" pivot="0" name="Copy of PRICING PLANTILLA  3-style 2">
      <tableStyleElement dxfId="6" type="headerRow"/>
      <tableStyleElement dxfId="2" type="firstRowStripe"/>
      <tableStyleElement dxfId="7" type="secondRowStripe"/>
    </tableStyle>
    <tableStyle count="3" pivot="0" name="Copy of PRICING PLANTILLA  3-style 3">
      <tableStyleElement dxfId="6" type="headerRow"/>
      <tableStyleElement dxfId="2" type="firstRowStripe"/>
      <tableStyleElement dxfId="7" type="secondRowStripe"/>
    </tableStyle>
    <tableStyle count="3" pivot="0" name="Copy of PRICING PLANTILLA  2-style">
      <tableStyleElement dxfId="6" type="headerRow"/>
      <tableStyleElement dxfId="2" type="firstRowStripe"/>
      <tableStyleElement dxfId="7" type="secondRowStripe"/>
    </tableStyle>
    <tableStyle count="3" pivot="0" name="Copy of PRICING PLANTILLA  2-style 2">
      <tableStyleElement dxfId="6" type="headerRow"/>
      <tableStyleElement dxfId="2" type="firstRowStripe"/>
      <tableStyleElement dxfId="7" type="secondRowStripe"/>
    </tableStyle>
    <tableStyle count="3" pivot="0" name="Copy of PRICING PLANTILLA  2-style 3">
      <tableStyleElement dxfId="6" type="headerRow"/>
      <tableStyleElement dxfId="2" type="firstRowStripe"/>
      <tableStyleElement dxfId="7" type="secondRowStripe"/>
    </tableStyle>
    <tableStyle count="3" pivot="0" name="Copy of Copy of PRICING PLANTIL-style">
      <tableStyleElement dxfId="6" type="headerRow"/>
      <tableStyleElement dxfId="2" type="firstRowStripe"/>
      <tableStyleElement dxfId="7" type="secondRowStripe"/>
    </tableStyle>
    <tableStyle count="3" pivot="0" name="Copy of Copy of PRICING PLANTIL-style 2">
      <tableStyleElement dxfId="6" type="headerRow"/>
      <tableStyleElement dxfId="2" type="firstRowStripe"/>
      <tableStyleElement dxfId="7" type="secondRowStripe"/>
    </tableStyle>
    <tableStyle count="3" pivot="0" name="Copy of Copy of PRICING PLANTIL-style 3">
      <tableStyleElement dxfId="6" type="headerRow"/>
      <tableStyleElement dxfId="2" type="firstRowStripe"/>
      <tableStyleElement dxfId="7" type="secondRowStripe"/>
    </tableStyle>
    <tableStyle count="3" pivot="0" name="PRICING PLANTILLA  2-style">
      <tableStyleElement dxfId="6" type="headerRow"/>
      <tableStyleElement dxfId="2" type="firstRowStripe"/>
      <tableStyleElement dxfId="7" type="secondRowStripe"/>
    </tableStyle>
    <tableStyle count="3" pivot="0" name="PRICING PLANTILLA  2-style 2">
      <tableStyleElement dxfId="6" type="headerRow"/>
      <tableStyleElement dxfId="2" type="firstRowStripe"/>
      <tableStyleElement dxfId="7" type="secondRowStripe"/>
    </tableStyle>
    <tableStyle count="3" pivot="0" name="PRICING PLANTILLA  2-style 3">
      <tableStyleElement dxfId="6" type="headerRow"/>
      <tableStyleElement dxfId="2" type="firstRowStripe"/>
      <tableStyleElement dxfId="7" type="secondRowStripe"/>
    </tableStyle>
    <tableStyle count="3" pivot="0" name="Copy of PRICING PLANTILLA  1-style">
      <tableStyleElement dxfId="6" type="headerRow"/>
      <tableStyleElement dxfId="2" type="firstRowStripe"/>
      <tableStyleElement dxfId="7" type="secondRowStripe"/>
    </tableStyle>
    <tableStyle count="3" pivot="0" name="Copy of PRICING PLANTILLA  1-style 2">
      <tableStyleElement dxfId="6" type="headerRow"/>
      <tableStyleElement dxfId="2" type="firstRowStripe"/>
      <tableStyleElement dxfId="7" type="secondRowStripe"/>
    </tableStyle>
    <tableStyle count="3" pivot="0" name="Copy of PRICING PLANTILLA  1-style 3">
      <tableStyleElement dxfId="6" type="headerRow"/>
      <tableStyleElement dxfId="2" type="firstRowStripe"/>
      <tableStyleElement dxfId="7" type="secondRowStripe"/>
    </tableStyle>
    <tableStyle count="3" pivot="0" name="Copy of PRICING PLANTILLA -style">
      <tableStyleElement dxfId="6" type="headerRow"/>
      <tableStyleElement dxfId="2" type="firstRowStripe"/>
      <tableStyleElement dxfId="7" type="secondRowStripe"/>
    </tableStyle>
    <tableStyle count="3" pivot="0" name="Copy of PRICING PLANTILLA -style 2">
      <tableStyleElement dxfId="6" type="headerRow"/>
      <tableStyleElement dxfId="2" type="firstRowStripe"/>
      <tableStyleElement dxfId="7" type="secondRowStripe"/>
    </tableStyle>
    <tableStyle count="3" pivot="0" name="Copy of PRICING PLANTILLA -style 3">
      <tableStyleElement dxfId="6" type="headerRow"/>
      <tableStyleElement dxfId="2" type="firstRowStripe"/>
      <tableStyleElement dxfId="7" type="secondRowStripe"/>
    </tableStyle>
    <tableStyle count="3" pivot="0" name="Copy of PRICING PLANTILLA-style">
      <tableStyleElement dxfId="1" type="headerRow"/>
      <tableStyleElement dxfId="2" type="firstRowStripe"/>
      <tableStyleElement dxfId="3" type="secondRowStripe"/>
    </tableStyle>
    <tableStyle count="3" pivot="0" name="Copy Pricing -style">
      <tableStyleElement dxfId="9" type="headerRow"/>
      <tableStyleElement dxfId="10" type="firstRowStripe"/>
      <tableStyleElement dxfId="11" type="secondRowStripe"/>
    </tableStyle>
    <tableStyle count="2" pivot="0" name="Copy Pricing -style 2">
      <tableStyleElement dxfId="11" type="firstRowStripe"/>
      <tableStyleElement dxfId="10" type="secondRowStripe"/>
    </tableStyle>
    <tableStyle count="2" pivot="0" name="Copy Pricing -style 3">
      <tableStyleElement dxfId="10" type="firstRowStripe"/>
      <tableStyleElement dxfId="1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0" Type="http://schemas.openxmlformats.org/officeDocument/2006/relationships/pivotCacheDefinition" Target="pivotCache/pivotCacheDefinition1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495300</xdr:colOff>
      <xdr:row>0</xdr:row>
      <xdr:rowOff>76200</xdr:rowOff>
    </xdr:from>
    <xdr:ext cx="828675" cy="1028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O3:P45" sheet="Parámetros"/>
  </cacheSource>
  <cacheFields>
    <cacheField name="Date" numFmtId="174">
      <sharedItems containsDate="1" containsString="0" containsBlank="1">
        <d v="2026-02-08T23:58:00Z"/>
        <d v="2026-02-09T23:58:00Z"/>
        <d v="2026-02-10T23:58:00Z"/>
        <d v="2026-02-11T23:58:00Z"/>
        <d v="2026-02-12T23:58:00Z"/>
        <d v="2026-02-13T23:58:00Z"/>
        <d v="2026-02-14T23:58:00Z"/>
        <d v="2026-02-16T23:58:00Z"/>
        <d v="2026-02-17T23:58:00Z"/>
        <d v="2026-02-18T23:58:00Z"/>
        <d v="2026-02-19T23:58:00Z"/>
        <d v="2026-02-20T23:58:00Z"/>
        <d v="2026-02-21T23:58:00Z"/>
        <d v="2026-02-22T23:58:00Z"/>
        <d v="2026-02-23T23:58:00Z"/>
        <d v="2026-02-24T23:58:00Z"/>
        <d v="2026-02-25T23:58:00Z"/>
        <d v="2026-02-26T23:58:00Z"/>
        <d v="2026-02-27T23:58:00Z"/>
        <d v="2026-02-28T23:58:00Z"/>
        <d v="2026-03-01T23:58:00Z"/>
        <d v="2026-03-02T23:58:00Z"/>
        <d v="2026-03-03T23:58:00Z"/>
        <d v="2026-03-04T23:58:00Z"/>
        <d v="2026-03-05T23:58:00Z"/>
        <d v="2026-03-06T23:58:00Z"/>
        <d v="2026-03-07T23:58:00Z"/>
        <d v="2026-03-09T23:58:00Z"/>
        <d v="2026-03-10T23:58:00Z"/>
        <d v="2026-03-11T23:58:00Z"/>
        <d v="2026-03-12T23:58:00Z"/>
        <d v="2026-03-13T23:58:00Z"/>
        <d v="2026-03-14T23:58:00Z"/>
        <d v="2026-03-16T23:58:00Z"/>
        <d v="2026-03-17T23:58:00Z"/>
        <d v="2026-03-18T23:58:00Z"/>
        <d v="2026-03-19T23:58:00Z"/>
        <m/>
      </sharedItems>
    </cacheField>
    <cacheField name="Close" numFmtId="3">
      <sharedItems containsString="0" containsBlank="1" containsNumber="1">
        <n v="3657.237"/>
        <n v="3668.26"/>
        <n v="3663.72"/>
        <n v="3669.53"/>
        <n v="3668.0"/>
        <n v="3664.65"/>
        <n v="3618.33"/>
        <n v="3656.07"/>
        <n v="3663.75"/>
        <n v="3678.28"/>
        <n v="3698.79"/>
        <n v="3706.17"/>
        <n v="3647.348"/>
        <n v="3691.94"/>
        <n v="3710.11"/>
        <n v="3697.69"/>
        <n v="3764.29"/>
        <n v="3759.93"/>
        <n v="3716.57"/>
        <n v="3770.8"/>
        <n v="3801.26"/>
        <n v="3759.11"/>
        <n v="3788.48"/>
        <n v="3782.66"/>
        <n v="3711.902"/>
        <n v="3761.83"/>
        <n v="3709.07"/>
        <n v="3703.43"/>
        <n v="3692.56"/>
        <n v="3704.68"/>
        <n v="3638.607"/>
        <n v="3702.24"/>
        <n v="3689.13572"/>
        <n v="3706.06"/>
        <n v="3704.24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arámetros" cacheId="0" dataCaption="" compact="0" compactData="0">
  <location ref="R5:S9" firstHeaderRow="0" firstDataRow="1" firstDataCol="0"/>
  <pivotFields>
    <pivotField name="Mes" axis="axisRow" compact="0" numFmtId="174" outline="0" multipleItemSelectionAllowed="1" showAll="0" sortType="ascending">
      <items>
        <item x="3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Close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</pivotFields>
  <rowFields>
    <field x="0"/>
  </rowFields>
  <dataFields>
    <dataField name="Average" fld="1" subtotal="average" baseField="0"/>
  </dataFields>
</pivotTableDefinition>
</file>

<file path=xl/tables/table1.xml><?xml version="1.0" encoding="utf-8"?>
<table xmlns="http://schemas.openxmlformats.org/spreadsheetml/2006/main" ref="B21:J34" displayName="Table_1" name="Table_1" id="1">
  <tableColumns count="9">
    <tableColumn name="Equipo" id="1"/>
    <tableColumn name="Salario Base" id="2"/>
    <tableColumn name="Tipo Contrato" id="3"/>
    <tableColumn name="Costo Total" id="4"/>
    <tableColumn name="Dedicación" id="5"/>
    <tableColumn name="Costo Final" id="6"/>
    <tableColumn name="% Tiempo Equipo" id="7"/>
    <tableColumn name="% Costo Equipo" id="8"/>
    <tableColumn name="PV (USD)" id="9"/>
  </tableColumns>
  <tableStyleInfo name="PRICING PLANTILLA-style" showColumnStripes="0" showFirstColumn="1" showLastColumn="1" showRowStripes="1"/>
</table>
</file>

<file path=xl/tables/table2.xml><?xml version="1.0" encoding="utf-8"?>
<table xmlns="http://schemas.openxmlformats.org/spreadsheetml/2006/main" ref="A1:C26" displayName="Table_2" name="Table_2" id="2">
  <tableColumns count="3">
    <tableColumn name="Perfil" id="1"/>
    <tableColumn name="Salario" id="2"/>
    <tableColumn name="Costo Empresa" id="3"/>
  </tableColumns>
  <tableStyleInfo name="Parámetros-style" showColumnStripes="0" showFirstColumn="1" showLastColumn="1" showRowStripes="1"/>
</table>
</file>

<file path=xl/tables/table3.xml><?xml version="1.0" encoding="utf-8"?>
<table xmlns="http://schemas.openxmlformats.org/spreadsheetml/2006/main" headerRowCount="0" ref="A29:C37" displayName="Table_3" name="Table_3" id="3">
  <tableColumns count="3">
    <tableColumn name="Column1" id="1"/>
    <tableColumn name="Column2" id="2"/>
    <tableColumn name="Column3" id="3"/>
  </tableColumns>
  <tableStyleInfo name="Parámetr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A38:D46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Parámetros-style 3" showColumnStripes="0" showFirstColumn="1" showLastColumn="1" showRowStripes="1"/>
</table>
</file>

<file path=xl/tables/table5.xml><?xml version="1.0" encoding="utf-8"?>
<table xmlns="http://schemas.openxmlformats.org/spreadsheetml/2006/main" headerRowCount="0" ref="A47:C55" displayName="Table_5" name="Table_5" id="5">
  <tableColumns count="3">
    <tableColumn name="Column1" id="1"/>
    <tableColumn name="Column2" id="2"/>
    <tableColumn name="Column3" id="3"/>
  </tableColumns>
  <tableStyleInfo name="Parámetros-style 4" showColumnStripes="0" showFirstColumn="1" showLastColumn="1" showRowStripes="1"/>
</table>
</file>

<file path=xl/tables/table6.xml><?xml version="1.0" encoding="utf-8"?>
<table xmlns="http://schemas.openxmlformats.org/spreadsheetml/2006/main" headerRowCount="0" ref="F49:G58" displayName="Table_6" name="Table_6" id="6">
  <tableColumns count="2">
    <tableColumn name="Column1" id="1"/>
    <tableColumn name="Column2" id="2"/>
  </tableColumns>
  <tableStyleInfo name="Parámetros-style 5" showColumnStripes="0" showFirstColumn="1" showLastColumn="1" showRowStripes="1"/>
</table>
</file>

<file path=xl/tables/table7.xml><?xml version="1.0" encoding="utf-8"?>
<table xmlns="http://schemas.openxmlformats.org/spreadsheetml/2006/main" headerRowCount="0" ref="A56:C61" displayName="Table_7" name="Table_7" id="7">
  <tableColumns count="3">
    <tableColumn name="Column1" id="1"/>
    <tableColumn name="Column2" id="2"/>
    <tableColumn name="Column3" id="3"/>
  </tableColumns>
  <tableStyleInfo name="Parámetros-style 6" showColumnStripes="0" showFirstColumn="1" showLastColumn="1" showRowStripes="1"/>
</table>
</file>

<file path=xl/tables/table8.xml><?xml version="1.0" encoding="utf-8"?>
<table xmlns="http://schemas.openxmlformats.org/spreadsheetml/2006/main" headerRowCount="0" ref="A62:C66" displayName="Table_8" name="Table_8" id="8">
  <tableColumns count="3">
    <tableColumn name="Column1" id="1"/>
    <tableColumn name="Column2" id="2"/>
    <tableColumn name="Column3" id="3"/>
  </tableColumns>
  <tableStyleInfo name="Parámetros-style 7" showColumnStripes="0" showFirstColumn="1" showLastColumn="1" showRowStripes="1"/>
</table>
</file>

<file path=xl/tables/table9.xml><?xml version="1.0" encoding="utf-8"?>
<table xmlns="http://schemas.openxmlformats.org/spreadsheetml/2006/main" headerRowCount="0" ref="A67:C71" displayName="Table_9" name="Table_9" id="9">
  <tableColumns count="3">
    <tableColumn name="Column1" id="1"/>
    <tableColumn name="Column2" id="2"/>
    <tableColumn name="Column3" id="3"/>
  </tableColumns>
  <tableStyleInfo name="Parámetros-style 8" showColumnStripes="0" showFirstColumn="1" showLastColumn="1" showRowStripes="1"/>
</table>
</file>

<file path=xl/tables/table10.xml><?xml version="1.0" encoding="utf-8"?>
<table xmlns="http://schemas.openxmlformats.org/spreadsheetml/2006/main" headerRowCount="0" ref="A72:C77" displayName="Table_10" name="Table_10" id="10">
  <tableColumns count="3">
    <tableColumn name="Column1" id="1"/>
    <tableColumn name="Column2" id="2"/>
    <tableColumn name="Column3" id="3"/>
  </tableColumns>
  <tableStyleInfo name="Parámetros-style 9" showColumnStripes="0" showFirstColumn="1" showLastColumn="1" showRowStripes="1"/>
</table>
</file>

<file path=xl/tables/table11.xml><?xml version="1.0" encoding="utf-8"?>
<table xmlns="http://schemas.openxmlformats.org/spreadsheetml/2006/main" headerRowCount="0" ref="A78:C80" displayName="Table_11" name="Table_11" id="11">
  <tableColumns count="3">
    <tableColumn name="Column1" id="1"/>
    <tableColumn name="Column2" id="2"/>
    <tableColumn name="Column3" id="3"/>
  </tableColumns>
  <tableStyleInfo name="Parámetros-style 10" showColumnStripes="0" showFirstColumn="1" showLastColumn="1" showRowStripes="1"/>
</table>
</file>

<file path=xl/tables/table12.xml><?xml version="1.0" encoding="utf-8"?>
<table xmlns="http://schemas.openxmlformats.org/spreadsheetml/2006/main" headerRowCount="0" ref="A81:C86" displayName="Table_12" name="Table_12" id="12">
  <tableColumns count="3">
    <tableColumn name="Column1" id="1"/>
    <tableColumn name="Column2" id="2"/>
    <tableColumn name="Column3" id="3"/>
  </tableColumns>
  <tableStyleInfo name="Parámetros-style 11" showColumnStripes="0" showFirstColumn="1" showLastColumn="1" showRowStripes="1"/>
</table>
</file>

<file path=xl/tables/table13.xml><?xml version="1.0" encoding="utf-8"?>
<table xmlns="http://schemas.openxmlformats.org/spreadsheetml/2006/main" headerRowCount="0" ref="A87:C113" displayName="Table_13" name="Table_13" id="13">
  <tableColumns count="3">
    <tableColumn name="Column1" id="1"/>
    <tableColumn name="Column2" id="2"/>
    <tableColumn name="Column3" id="3"/>
  </tableColumns>
  <tableStyleInfo name="Parámetros-style 12" showColumnStripes="0" showFirstColumn="1" showLastColumn="1" showRowStripes="1"/>
</table>
</file>

<file path=xl/tables/table14.xml><?xml version="1.0" encoding="utf-8"?>
<table xmlns="http://schemas.openxmlformats.org/spreadsheetml/2006/main" headerRowCount="0" ref="A117:C117" displayName="Table_14" name="Table_14" id="14">
  <tableColumns count="3">
    <tableColumn name="Column1" id="1"/>
    <tableColumn name="Column2" id="2"/>
    <tableColumn name="Column3" id="3"/>
  </tableColumns>
  <tableStyleInfo name="Parámetros-style 1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A118:C119" displayName="Table_15" name="Table_15" id="15">
  <tableColumns count="3">
    <tableColumn name="Column1" id="1"/>
    <tableColumn name="Column2" id="2"/>
    <tableColumn name="Column3" id="3"/>
  </tableColumns>
  <tableStyleInfo name="Parámetros-style 14" showColumnStripes="0" showFirstColumn="1" showLastColumn="1" showRowStripes="1"/>
</table>
</file>

<file path=xl/tables/table16.xml><?xml version="1.0" encoding="utf-8"?>
<table xmlns="http://schemas.openxmlformats.org/spreadsheetml/2006/main" headerRowCount="0" ref="D118:D125" displayName="Table_16" name="Table_16" id="16">
  <tableColumns count="1">
    <tableColumn name="Column1" id="1"/>
  </tableColumns>
  <tableStyleInfo name="Parámetros-style 15" showColumnStripes="0" showFirstColumn="1" showLastColumn="1" showRowStripes="1"/>
</table>
</file>

<file path=xl/tables/table17.xml><?xml version="1.0" encoding="utf-8"?>
<table xmlns="http://schemas.openxmlformats.org/spreadsheetml/2006/main" headerRowCount="0" ref="A120:C121" displayName="Table_17" name="Table_17" id="17">
  <tableColumns count="3">
    <tableColumn name="Column1" id="1"/>
    <tableColumn name="Column2" id="2"/>
    <tableColumn name="Column3" id="3"/>
  </tableColumns>
  <tableStyleInfo name="Parámetros-style 16" showColumnStripes="0" showFirstColumn="1" showLastColumn="1" showRowStripes="1"/>
</table>
</file>

<file path=xl/tables/table18.xml><?xml version="1.0" encoding="utf-8"?>
<table xmlns="http://schemas.openxmlformats.org/spreadsheetml/2006/main" headerRowCount="0" ref="A122:C125" displayName="Table_18" name="Table_18" id="18">
  <tableColumns count="3">
    <tableColumn name="Column1" id="1"/>
    <tableColumn name="Column2" id="2"/>
    <tableColumn name="Column3" id="3"/>
  </tableColumns>
  <tableStyleInfo name="Parámetros-style 17" showColumnStripes="0" showFirstColumn="1" showLastColumn="1" showRowStripes="1"/>
</table>
</file>

<file path=xl/tables/table19.xml><?xml version="1.0" encoding="utf-8"?>
<table xmlns="http://schemas.openxmlformats.org/spreadsheetml/2006/main" headerRowCount="0" ref="A129:C140" displayName="Table_19" name="Table_19" id="19">
  <tableColumns count="3">
    <tableColumn name="Column1" id="1"/>
    <tableColumn name="Column2" id="2"/>
    <tableColumn name="Column3" id="3"/>
  </tableColumns>
  <tableStyleInfo name="Parámetros-style 1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headerRowCount="0" ref="D130:D139" displayName="Table_20" name="Table_20" id="20">
  <tableColumns count="1">
    <tableColumn name="Column1" id="1"/>
  </tableColumns>
  <tableStyleInfo name="Parámetros-style 19" showColumnStripes="0" showFirstColumn="1" showLastColumn="1" showRowStripes="1"/>
</table>
</file>

<file path=xl/tables/table21.xml><?xml version="1.0" encoding="utf-8"?>
<table xmlns="http://schemas.openxmlformats.org/spreadsheetml/2006/main" headerRowCount="0" ref="E130:E139" displayName="Table_21" name="Table_21" id="21">
  <tableColumns count="1">
    <tableColumn name="Column1" id="1"/>
  </tableColumns>
  <tableStyleInfo name="Parámetros-style 20" showColumnStripes="0" showFirstColumn="1" showLastColumn="1" showRowStripes="1"/>
</table>
</file>

<file path=xl/tables/table22.xml><?xml version="1.0" encoding="utf-8"?>
<table xmlns="http://schemas.openxmlformats.org/spreadsheetml/2006/main" headerRowCount="0" ref="D140:D141" displayName="Table_22" name="Table_22" id="22">
  <tableColumns count="1">
    <tableColumn name="Column1" id="1"/>
  </tableColumns>
  <tableStyleInfo name="Parámetros-style 21" showColumnStripes="0" showFirstColumn="1" showLastColumn="1" showRowStripes="1"/>
</table>
</file>

<file path=xl/tables/table23.xml><?xml version="1.0" encoding="utf-8"?>
<table xmlns="http://schemas.openxmlformats.org/spreadsheetml/2006/main" headerRowCount="0" ref="E140:E141" displayName="Table_23" name="Table_23" id="23">
  <tableColumns count="1">
    <tableColumn name="Column1" id="1"/>
  </tableColumns>
  <tableStyleInfo name="Parámetros-style 22" showColumnStripes="0" showFirstColumn="1" showLastColumn="1" showRowStripes="1"/>
</table>
</file>

<file path=xl/tables/table24.xml><?xml version="1.0" encoding="utf-8"?>
<table xmlns="http://schemas.openxmlformats.org/spreadsheetml/2006/main" headerRowCount="0" ref="F140:F141" displayName="Table_24" name="Table_24" id="24">
  <tableColumns count="1">
    <tableColumn name="Column1" id="1"/>
  </tableColumns>
  <tableStyleInfo name="Parámetros-style 23" showColumnStripes="0" showFirstColumn="1" showLastColumn="1" showRowStripes="1"/>
</table>
</file>

<file path=xl/tables/table25.xml><?xml version="1.0" encoding="utf-8"?>
<table xmlns="http://schemas.openxmlformats.org/spreadsheetml/2006/main" headerRowCount="0" ref="A141" displayName="Table_25" name="Table_25" id="25">
  <tableColumns count="1">
    <tableColumn name="Column1" id="1"/>
  </tableColumns>
  <tableStyleInfo name="Parámetros-style 24" showColumnStripes="0" showFirstColumn="1" showLastColumn="1" showRowStripes="1"/>
</table>
</file>

<file path=xl/tables/table26.xml><?xml version="1.0" encoding="utf-8"?>
<table xmlns="http://schemas.openxmlformats.org/spreadsheetml/2006/main" headerRowCount="0" ref="B141" displayName="Table_26" name="Table_26" id="26">
  <tableColumns count="1">
    <tableColumn name="Column1" id="1"/>
  </tableColumns>
  <tableStyleInfo name="Parámetros-style 25" showColumnStripes="0" showFirstColumn="1" showLastColumn="1" showRowStripes="1"/>
</table>
</file>

<file path=xl/tables/table27.xml><?xml version="1.0" encoding="utf-8"?>
<table xmlns="http://schemas.openxmlformats.org/spreadsheetml/2006/main" headerRowCount="0" ref="C141" displayName="Table_27" name="Table_27" id="27">
  <tableColumns count="1">
    <tableColumn name="Column1" id="1"/>
  </tableColumns>
  <tableStyleInfo name="Parámetros-style 26" showColumnStripes="0" showFirstColumn="1" showLastColumn="1" showRowStripes="1"/>
</table>
</file>

<file path=xl/tables/table28.xml><?xml version="1.0" encoding="utf-8"?>
<table xmlns="http://schemas.openxmlformats.org/spreadsheetml/2006/main" ref="B26:G36" displayName="Table_28" name="Table_28" id="28">
  <tableColumns count="6">
    <tableColumn name="Equipo" id="1"/>
    <tableColumn name="Salario Base" id="2"/>
    <tableColumn name="Tipo Contrato" id="3"/>
    <tableColumn name="Dedicación" id="4"/>
    <tableColumn name="Costo mensual" id="5"/>
    <tableColumn name="Costo total" id="6"/>
  </tableColumns>
  <tableStyleInfo name="Foward Deployed Enginnier-style" showColumnStripes="0" showFirstColumn="1" showLastColumn="1" showRowStripes="1"/>
</table>
</file>

<file path=xl/tables/table29.xml><?xml version="1.0" encoding="utf-8"?>
<table xmlns="http://schemas.openxmlformats.org/spreadsheetml/2006/main" ref="H26:H36" displayName="Table_29" name="Table_29" id="29">
  <tableColumns count="1">
    <tableColumn name="% Tiempo Equipo" id="1"/>
  </tableColumns>
  <tableStyleInfo name="Foward Deployed Enginnier-style 2" showColumnStripes="0" showFirstColumn="1" showLastColumn="1" showRowStripes="1"/>
</table>
</file>

<file path=xl/tables/table30.xml><?xml version="1.0" encoding="utf-8"?>
<table xmlns="http://schemas.openxmlformats.org/spreadsheetml/2006/main" headerRowCount="0" ref="B56:E63" displayName="Table_30" name="Table_30" id="30">
  <tableColumns count="4">
    <tableColumn name="Column1" id="1"/>
    <tableColumn name="Column2" id="2"/>
    <tableColumn name="Column3" id="3"/>
    <tableColumn name="Column4" id="4"/>
  </tableColumns>
  <tableStyleInfo name="Foward Deployed Enginnier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.xml><?xml version="1.0" encoding="utf-8"?>
<table xmlns="http://schemas.openxmlformats.org/spreadsheetml/2006/main" ref="B26:G36" displayName="Table_31" name="Table_31" id="31">
  <tableColumns count="6">
    <tableColumn name="Equipo" id="1"/>
    <tableColumn name="Salario Base" id="2"/>
    <tableColumn name="Tipo Contrato" id="3"/>
    <tableColumn name="Dedicación" id="4"/>
    <tableColumn name="Costo mensual" id="5"/>
    <tableColumn name="Costo total" id="6"/>
  </tableColumns>
  <tableStyleInfo name="Equipo Base-style" showColumnStripes="0" showFirstColumn="1" showLastColumn="1" showRowStripes="1"/>
</table>
</file>

<file path=xl/tables/table32.xml><?xml version="1.0" encoding="utf-8"?>
<table xmlns="http://schemas.openxmlformats.org/spreadsheetml/2006/main" ref="H26:H36" displayName="Table_32" name="Table_32" id="32">
  <tableColumns count="1">
    <tableColumn name="% Tiempo Equipo" id="1"/>
  </tableColumns>
  <tableStyleInfo name="Equipo Base-style 2" showColumnStripes="0" showFirstColumn="1" showLastColumn="1" showRowStripes="1"/>
</table>
</file>

<file path=xl/tables/table33.xml><?xml version="1.0" encoding="utf-8"?>
<table xmlns="http://schemas.openxmlformats.org/spreadsheetml/2006/main" headerRowCount="0" ref="B56:E63" displayName="Table_33" name="Table_33" id="33">
  <tableColumns count="4">
    <tableColumn name="Column1" id="1"/>
    <tableColumn name="Column2" id="2"/>
    <tableColumn name="Column3" id="3"/>
    <tableColumn name="Column4" id="4"/>
  </tableColumns>
  <tableStyleInfo name="Equipo Base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.xml><?xml version="1.0" encoding="utf-8"?>
<table xmlns="http://schemas.openxmlformats.org/spreadsheetml/2006/main" ref="B26:G36" displayName="Table_34" name="Table_34" id="34">
  <tableColumns count="6">
    <tableColumn name="Equipo" id="1"/>
    <tableColumn name="Salario Base" id="2"/>
    <tableColumn name="Tipo Contrato" id="3"/>
    <tableColumn name="Dedicación" id="4"/>
    <tableColumn name="Costo mensual" id="5"/>
    <tableColumn name="Costo total" id="6"/>
  </tableColumns>
  <tableStyleInfo name="Equipo con UX-style" showColumnStripes="0" showFirstColumn="1" showLastColumn="1" showRowStripes="1"/>
</table>
</file>

<file path=xl/tables/table35.xml><?xml version="1.0" encoding="utf-8"?>
<table xmlns="http://schemas.openxmlformats.org/spreadsheetml/2006/main" ref="H26:H36" displayName="Table_35" name="Table_35" id="35">
  <tableColumns count="1">
    <tableColumn name="% Tiempo Equipo" id="1"/>
  </tableColumns>
  <tableStyleInfo name="Equipo con UX-style 2" showColumnStripes="0" showFirstColumn="1" showLastColumn="1" showRowStripes="1"/>
</table>
</file>

<file path=xl/tables/table36.xml><?xml version="1.0" encoding="utf-8"?>
<table xmlns="http://schemas.openxmlformats.org/spreadsheetml/2006/main" headerRowCount="0" ref="B56:E63" displayName="Table_36" name="Table_36" id="36">
  <tableColumns count="4">
    <tableColumn name="Column1" id="1"/>
    <tableColumn name="Column2" id="2"/>
    <tableColumn name="Column3" id="3"/>
    <tableColumn name="Column4" id="4"/>
  </tableColumns>
  <tableStyleInfo name="Equipo con UX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7.xml><?xml version="1.0" encoding="utf-8"?>
<table xmlns="http://schemas.openxmlformats.org/spreadsheetml/2006/main" ref="B26:G36" displayName="Table_37" name="Table_37" id="37">
  <tableColumns count="6">
    <tableColumn name="Equipo" id="1"/>
    <tableColumn name="Salario Base" id="2"/>
    <tableColumn name="Tipo Contrato" id="3"/>
    <tableColumn name="Dedicación" id="4"/>
    <tableColumn name="Costo mensual" id="5"/>
    <tableColumn name="Costo total" id="6"/>
  </tableColumns>
  <tableStyleInfo name="Equipo UX + Pm-style" showColumnStripes="0" showFirstColumn="1" showLastColumn="1" showRowStripes="1"/>
</table>
</file>

<file path=xl/tables/table38.xml><?xml version="1.0" encoding="utf-8"?>
<table xmlns="http://schemas.openxmlformats.org/spreadsheetml/2006/main" ref="H26:H36" displayName="Table_38" name="Table_38" id="38">
  <tableColumns count="1">
    <tableColumn name="% Tiempo Equipo" id="1"/>
  </tableColumns>
  <tableStyleInfo name="Equipo UX + Pm-style 2" showColumnStripes="0" showFirstColumn="1" showLastColumn="1" showRowStripes="1"/>
</table>
</file>

<file path=xl/tables/table39.xml><?xml version="1.0" encoding="utf-8"?>
<table xmlns="http://schemas.openxmlformats.org/spreadsheetml/2006/main" headerRowCount="0" ref="B56:E63" displayName="Table_39" name="Table_39" id="39">
  <tableColumns count="4">
    <tableColumn name="Column1" id="1"/>
    <tableColumn name="Column2" id="2"/>
    <tableColumn name="Column3" id="3"/>
    <tableColumn name="Column4" id="4"/>
  </tableColumns>
  <tableStyleInfo name="Equipo UX + Pm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0.xml><?xml version="1.0" encoding="utf-8"?>
<table xmlns="http://schemas.openxmlformats.org/spreadsheetml/2006/main" ref="B26:G36" displayName="Table_40" name="Table_40" id="40">
  <tableColumns count="6">
    <tableColumn name="Equipo" id="1"/>
    <tableColumn name="Salario Base" id="2"/>
    <tableColumn name="Tipo Contrato" id="3"/>
    <tableColumn name="Dedicación" id="4"/>
    <tableColumn name="Costo mensual" id="5"/>
    <tableColumn name="Costo total" id="6"/>
  </tableColumns>
  <tableStyleInfo name="Equipo dos FDE-style" showColumnStripes="0" showFirstColumn="1" showLastColumn="1" showRowStripes="1"/>
</table>
</file>

<file path=xl/tables/table41.xml><?xml version="1.0" encoding="utf-8"?>
<table xmlns="http://schemas.openxmlformats.org/spreadsheetml/2006/main" ref="H26:H36" displayName="Table_41" name="Table_41" id="41">
  <tableColumns count="1">
    <tableColumn name="% Tiempo Equipo" id="1"/>
  </tableColumns>
  <tableStyleInfo name="Equipo dos FDE-style 2" showColumnStripes="0" showFirstColumn="1" showLastColumn="1" showRowStripes="1"/>
</table>
</file>

<file path=xl/tables/table42.xml><?xml version="1.0" encoding="utf-8"?>
<table xmlns="http://schemas.openxmlformats.org/spreadsheetml/2006/main" headerRowCount="0" ref="B56:E63" displayName="Table_42" name="Table_42" id="42">
  <tableColumns count="4">
    <tableColumn name="Column1" id="1"/>
    <tableColumn name="Column2" id="2"/>
    <tableColumn name="Column3" id="3"/>
    <tableColumn name="Column4" id="4"/>
  </tableColumns>
  <tableStyleInfo name="Equipo dos FDE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3.xml><?xml version="1.0" encoding="utf-8"?>
<table xmlns="http://schemas.openxmlformats.org/spreadsheetml/2006/main" ref="B26:G36" displayName="Table_43" name="Table_43" id="43">
  <tableColumns count="6">
    <tableColumn name="Equipo" id="1"/>
    <tableColumn name="Salario Base" id="2"/>
    <tableColumn name="Tipo Contrato" id="3"/>
    <tableColumn name="Dedicación" id="4"/>
    <tableColumn name="Costo mensual" id="5"/>
    <tableColumn name="Costo total" id="6"/>
  </tableColumns>
  <tableStyleInfo name="Sprint MVP-style" showColumnStripes="0" showFirstColumn="1" showLastColumn="1" showRowStripes="1"/>
</table>
</file>

<file path=xl/tables/table44.xml><?xml version="1.0" encoding="utf-8"?>
<table xmlns="http://schemas.openxmlformats.org/spreadsheetml/2006/main" ref="H26:H36" displayName="Table_44" name="Table_44" id="44">
  <tableColumns count="1">
    <tableColumn name="% Tiempo Equipo" id="1"/>
  </tableColumns>
  <tableStyleInfo name="Sprint MVP-style 2" showColumnStripes="0" showFirstColumn="1" showLastColumn="1" showRowStripes="1"/>
</table>
</file>

<file path=xl/tables/table45.xml><?xml version="1.0" encoding="utf-8"?>
<table xmlns="http://schemas.openxmlformats.org/spreadsheetml/2006/main" headerRowCount="0" ref="B56:E63" displayName="Table_45" name="Table_45" id="45">
  <tableColumns count="4">
    <tableColumn name="Column1" id="1"/>
    <tableColumn name="Column2" id="2"/>
    <tableColumn name="Column3" id="3"/>
    <tableColumn name="Column4" id="4"/>
  </tableColumns>
  <tableStyleInfo name="Sprint MVP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6.xml><?xml version="1.0" encoding="utf-8"?>
<table xmlns="http://schemas.openxmlformats.org/spreadsheetml/2006/main" ref="B26:G36" displayName="Table_46" name="Table_46" id="46">
  <tableColumns count="6">
    <tableColumn name="Equipo" id="1"/>
    <tableColumn name="Salario Base" id="2"/>
    <tableColumn name="Tipo Contrato" id="3"/>
    <tableColumn name="Dedicación" id="4"/>
    <tableColumn name="Costo mensual" id="5"/>
    <tableColumn name="Costo total" id="6"/>
  </tableColumns>
  <tableStyleInfo name="Copy of PRICING PLANTILLA  6-style" showColumnStripes="0" showFirstColumn="1" showLastColumn="1" showRowStripes="1"/>
</table>
</file>

<file path=xl/tables/table47.xml><?xml version="1.0" encoding="utf-8"?>
<table xmlns="http://schemas.openxmlformats.org/spreadsheetml/2006/main" ref="H26:H36" displayName="Table_47" name="Table_47" id="47">
  <tableColumns count="1">
    <tableColumn name="% Tiempo Equipo" id="1"/>
  </tableColumns>
  <tableStyleInfo name="Copy of PRICING PLANTILLA  6-style 2" showColumnStripes="0" showFirstColumn="1" showLastColumn="1" showRowStripes="1"/>
</table>
</file>

<file path=xl/tables/table48.xml><?xml version="1.0" encoding="utf-8"?>
<table xmlns="http://schemas.openxmlformats.org/spreadsheetml/2006/main" headerRowCount="0" ref="B56:E63" displayName="Table_48" name="Table_48" id="48">
  <tableColumns count="4">
    <tableColumn name="Column1" id="1"/>
    <tableColumn name="Column2" id="2"/>
    <tableColumn name="Column3" id="3"/>
    <tableColumn name="Column4" id="4"/>
  </tableColumns>
  <tableStyleInfo name="Copy of PRICING PLANTILLA  6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9.xml><?xml version="1.0" encoding="utf-8"?>
<table xmlns="http://schemas.openxmlformats.org/spreadsheetml/2006/main" ref="B26:G36" displayName="Table_49" name="Table_49" id="49">
  <tableColumns count="6">
    <tableColumn name="Equipo" id="1"/>
    <tableColumn name="Salario Base" id="2"/>
    <tableColumn name="Tipo Contrato" id="3"/>
    <tableColumn name="Dedicación" id="4"/>
    <tableColumn name="Costo mensual" id="5"/>
    <tableColumn name="Costo total" id="6"/>
  </tableColumns>
  <tableStyleInfo name=" PRICING PLANTILLA  Itempo Equi-style" showColumnStripes="0" showFirstColumn="1" showLastColumn="1" showRowStripes="1"/>
</table>
</file>

<file path=xl/tables/table50.xml><?xml version="1.0" encoding="utf-8"?>
<table xmlns="http://schemas.openxmlformats.org/spreadsheetml/2006/main" ref="H26:H36" displayName="Table_50" name="Table_50" id="50">
  <tableColumns count="1">
    <tableColumn name="% Tiempo Equipo" id="1"/>
  </tableColumns>
  <tableStyleInfo name=" PRICING PLANTILLA  Itempo Equi-style 2" showColumnStripes="0" showFirstColumn="1" showLastColumn="1" showRowStripes="1"/>
</table>
</file>

<file path=xl/tables/table51.xml><?xml version="1.0" encoding="utf-8"?>
<table xmlns="http://schemas.openxmlformats.org/spreadsheetml/2006/main" headerRowCount="0" ref="B56:E63" displayName="Table_51" name="Table_51" id="51">
  <tableColumns count="4">
    <tableColumn name="Column1" id="1"/>
    <tableColumn name="Column2" id="2"/>
    <tableColumn name="Column3" id="3"/>
    <tableColumn name="Column4" id="4"/>
  </tableColumns>
  <tableStyleInfo name=" PRICING PLANTILLA  Itempo Equi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2.xml><?xml version="1.0" encoding="utf-8"?>
<table xmlns="http://schemas.openxmlformats.org/spreadsheetml/2006/main" ref="B24:G32" displayName="Table_52" name="Table_52" id="52">
  <tableColumns count="6">
    <tableColumn name="Equipo" id="1"/>
    <tableColumn name="Salario Base" id="2"/>
    <tableColumn name="Tipo Contrato" id="3"/>
    <tableColumn name="Dedicación" id="4"/>
    <tableColumn name="Costo mensual" id="5"/>
    <tableColumn name="Costo total" id="6"/>
  </tableColumns>
  <tableStyleInfo name="Copy of PRICING PLANTILLA  5-style" showColumnStripes="0" showFirstColumn="1" showLastColumn="1" showRowStripes="1"/>
</table>
</file>

<file path=xl/tables/table53.xml><?xml version="1.0" encoding="utf-8"?>
<table xmlns="http://schemas.openxmlformats.org/spreadsheetml/2006/main" ref="H24:H32" displayName="Table_53" name="Table_53" id="53">
  <tableColumns count="1">
    <tableColumn name="% Tiempo Equipo" id="1"/>
  </tableColumns>
  <tableStyleInfo name="Copy of PRICING PLANTILLA  5-style 2" showColumnStripes="0" showFirstColumn="1" showLastColumn="1" showRowStripes="1"/>
</table>
</file>

<file path=xl/tables/table54.xml><?xml version="1.0" encoding="utf-8"?>
<table xmlns="http://schemas.openxmlformats.org/spreadsheetml/2006/main" headerRowCount="0" ref="B49:E56" displayName="Table_54" name="Table_54" id="54">
  <tableColumns count="4">
    <tableColumn name="Column1" id="1"/>
    <tableColumn name="Column2" id="2"/>
    <tableColumn name="Column3" id="3"/>
    <tableColumn name="Column4" id="4"/>
  </tableColumns>
  <tableStyleInfo name="Copy of PRICING PLANTILLA  5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5.xml><?xml version="1.0" encoding="utf-8"?>
<table xmlns="http://schemas.openxmlformats.org/spreadsheetml/2006/main" ref="B24:G32" displayName="Table_55" name="Table_55" id="55">
  <tableColumns count="6">
    <tableColumn name="Equipo" id="1"/>
    <tableColumn name="Salario Base" id="2"/>
    <tableColumn name="Tipo Contrato" id="3"/>
    <tableColumn name="Dedicación" id="4"/>
    <tableColumn name="Costo mensual" id="5"/>
    <tableColumn name="Costo total" id="6"/>
  </tableColumns>
  <tableStyleInfo name="Copy of PRICING PLANTILLA  4-style" showColumnStripes="0" showFirstColumn="1" showLastColumn="1" showRowStripes="1"/>
</table>
</file>

<file path=xl/tables/table56.xml><?xml version="1.0" encoding="utf-8"?>
<table xmlns="http://schemas.openxmlformats.org/spreadsheetml/2006/main" ref="H24:H32" displayName="Table_56" name="Table_56" id="56">
  <tableColumns count="1">
    <tableColumn name="% Tiempo Equipo" id="1"/>
  </tableColumns>
  <tableStyleInfo name="Copy of PRICING PLANTILLA  4-style 2" showColumnStripes="0" showFirstColumn="1" showLastColumn="1" showRowStripes="1"/>
</table>
</file>

<file path=xl/tables/table57.xml><?xml version="1.0" encoding="utf-8"?>
<table xmlns="http://schemas.openxmlformats.org/spreadsheetml/2006/main" headerRowCount="0" ref="B49:E56" displayName="Table_57" name="Table_57" id="57">
  <tableColumns count="4">
    <tableColumn name="Column1" id="1"/>
    <tableColumn name="Column2" id="2"/>
    <tableColumn name="Column3" id="3"/>
    <tableColumn name="Column4" id="4"/>
  </tableColumns>
  <tableStyleInfo name="Copy of PRICING PLANTILLA  4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8.xml><?xml version="1.0" encoding="utf-8"?>
<table xmlns="http://schemas.openxmlformats.org/spreadsheetml/2006/main" ref="B24:G32" displayName="Table_58" name="Table_58" id="58">
  <tableColumns count="6">
    <tableColumn name="Equipo" id="1"/>
    <tableColumn name="Salario Base" id="2"/>
    <tableColumn name="Tipo Contrato" id="3"/>
    <tableColumn name="Dedicación" id="4"/>
    <tableColumn name="Costo mensual" id="5"/>
    <tableColumn name="Costo total" id="6"/>
  </tableColumns>
  <tableStyleInfo name="Copy of PRICING PLANTILLA  3-style" showColumnStripes="0" showFirstColumn="1" showLastColumn="1" showRowStripes="1"/>
</table>
</file>

<file path=xl/tables/table59.xml><?xml version="1.0" encoding="utf-8"?>
<table xmlns="http://schemas.openxmlformats.org/spreadsheetml/2006/main" ref="H24:H32" displayName="Table_59" name="Table_59" id="59">
  <tableColumns count="1">
    <tableColumn name="% Tiempo Equipo" id="1"/>
  </tableColumns>
  <tableStyleInfo name="Copy of PRICING PLANTILLA  3-style 2" showColumnStripes="0" showFirstColumn="1" showLastColumn="1" showRowStripes="1"/>
</table>
</file>

<file path=xl/tables/table60.xml><?xml version="1.0" encoding="utf-8"?>
<table xmlns="http://schemas.openxmlformats.org/spreadsheetml/2006/main" headerRowCount="0" ref="B49:E56" displayName="Table_60" name="Table_60" id="60">
  <tableColumns count="4">
    <tableColumn name="Column1" id="1"/>
    <tableColumn name="Column2" id="2"/>
    <tableColumn name="Column3" id="3"/>
    <tableColumn name="Column4" id="4"/>
  </tableColumns>
  <tableStyleInfo name="Copy of PRICING PLANTILLA  3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1.xml><?xml version="1.0" encoding="utf-8"?>
<table xmlns="http://schemas.openxmlformats.org/spreadsheetml/2006/main" ref="B24:G32" displayName="Table_61" name="Table_61" id="61">
  <tableColumns count="6">
    <tableColumn name="Equipo" id="1"/>
    <tableColumn name="Salario Base" id="2"/>
    <tableColumn name="Tipo Contrato" id="3"/>
    <tableColumn name="Dedicación" id="4"/>
    <tableColumn name="Costo mensual" id="5"/>
    <tableColumn name="Costo total" id="6"/>
  </tableColumns>
  <tableStyleInfo name="Copy of PRICING PLANTILLA  2-style" showColumnStripes="0" showFirstColumn="1" showLastColumn="1" showRowStripes="1"/>
</table>
</file>

<file path=xl/tables/table62.xml><?xml version="1.0" encoding="utf-8"?>
<table xmlns="http://schemas.openxmlformats.org/spreadsheetml/2006/main" ref="H24:H32" displayName="Table_62" name="Table_62" id="62">
  <tableColumns count="1">
    <tableColumn name="% Tiempo Equipo" id="1"/>
  </tableColumns>
  <tableStyleInfo name="Copy of PRICING PLANTILLA  2-style 2" showColumnStripes="0" showFirstColumn="1" showLastColumn="1" showRowStripes="1"/>
</table>
</file>

<file path=xl/tables/table63.xml><?xml version="1.0" encoding="utf-8"?>
<table xmlns="http://schemas.openxmlformats.org/spreadsheetml/2006/main" headerRowCount="0" ref="B49:E56" displayName="Table_63" name="Table_63" id="63">
  <tableColumns count="4">
    <tableColumn name="Column1" id="1"/>
    <tableColumn name="Column2" id="2"/>
    <tableColumn name="Column3" id="3"/>
    <tableColumn name="Column4" id="4"/>
  </tableColumns>
  <tableStyleInfo name="Copy of PRICING PLANTILLA  2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4.xml><?xml version="1.0" encoding="utf-8"?>
<table xmlns="http://schemas.openxmlformats.org/spreadsheetml/2006/main" ref="B24:G32" displayName="Table_64" name="Table_64" id="64">
  <tableColumns count="6">
    <tableColumn name="Equipo" id="1"/>
    <tableColumn name="Salario Base" id="2"/>
    <tableColumn name="Tipo Contrato" id="3"/>
    <tableColumn name="Dedicación" id="4"/>
    <tableColumn name="Costo mensual" id="5"/>
    <tableColumn name="Costo total" id="6"/>
  </tableColumns>
  <tableStyleInfo name="Copy of Copy of PRICING PLANTIL-style" showColumnStripes="0" showFirstColumn="1" showLastColumn="1" showRowStripes="1"/>
</table>
</file>

<file path=xl/tables/table65.xml><?xml version="1.0" encoding="utf-8"?>
<table xmlns="http://schemas.openxmlformats.org/spreadsheetml/2006/main" ref="H24:H32" displayName="Table_65" name="Table_65" id="65">
  <tableColumns count="1">
    <tableColumn name="% Tiempo Equipo" id="1"/>
  </tableColumns>
  <tableStyleInfo name="Copy of Copy of PRICING PLANTIL-style 2" showColumnStripes="0" showFirstColumn="1" showLastColumn="1" showRowStripes="1"/>
</table>
</file>

<file path=xl/tables/table66.xml><?xml version="1.0" encoding="utf-8"?>
<table xmlns="http://schemas.openxmlformats.org/spreadsheetml/2006/main" headerRowCount="0" ref="B49:E56" displayName="Table_66" name="Table_66" id="66">
  <tableColumns count="4">
    <tableColumn name="Column1" id="1"/>
    <tableColumn name="Column2" id="2"/>
    <tableColumn name="Column3" id="3"/>
    <tableColumn name="Column4" id="4"/>
  </tableColumns>
  <tableStyleInfo name="Copy of Copy of PRICING PLANTIL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7.xml><?xml version="1.0" encoding="utf-8"?>
<table xmlns="http://schemas.openxmlformats.org/spreadsheetml/2006/main" ref="B23:F31" displayName="Table_67" name="Table_67" id="67">
  <tableColumns count="5">
    <tableColumn name="Equipo" id="1"/>
    <tableColumn name="Salario Base" id="2"/>
    <tableColumn name="Tipo Contrato" id="3"/>
    <tableColumn name="Dedicación" id="4"/>
    <tableColumn name="Costo " id="5"/>
  </tableColumns>
  <tableStyleInfo name="PRICING PLANTILLA  2-style" showColumnStripes="0" showFirstColumn="1" showLastColumn="1" showRowStripes="1"/>
</table>
</file>

<file path=xl/tables/table68.xml><?xml version="1.0" encoding="utf-8"?>
<table xmlns="http://schemas.openxmlformats.org/spreadsheetml/2006/main" ref="G23:G31" displayName="Table_68" name="Table_68" id="68">
  <tableColumns count="1">
    <tableColumn name="% Tiempo Equipo" id="1"/>
  </tableColumns>
  <tableStyleInfo name="PRICING PLANTILLA  2-style 2" showColumnStripes="0" showFirstColumn="1" showLastColumn="1" showRowStripes="1"/>
</table>
</file>

<file path=xl/tables/table69.xml><?xml version="1.0" encoding="utf-8"?>
<table xmlns="http://schemas.openxmlformats.org/spreadsheetml/2006/main" headerRowCount="0" ref="H23:H31" displayName="Table_69" name="Table_69" id="69">
  <tableColumns count="1">
    <tableColumn name="Column1" id="1"/>
  </tableColumns>
  <tableStyleInfo name="PRICING PLANTILLA  2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0.xml><?xml version="1.0" encoding="utf-8"?>
<table xmlns="http://schemas.openxmlformats.org/spreadsheetml/2006/main" ref="B23:F31" displayName="Table_70" name="Table_70" id="70">
  <tableColumns count="5">
    <tableColumn name="Equipo" id="1"/>
    <tableColumn name="Salario Base" id="2"/>
    <tableColumn name="Tipo Contrato" id="3"/>
    <tableColumn name="Dedicación" id="4"/>
    <tableColumn name="Costo " id="5"/>
  </tableColumns>
  <tableStyleInfo name="Copy of PRICING PLANTILLA  1-style" showColumnStripes="0" showFirstColumn="1" showLastColumn="1" showRowStripes="1"/>
</table>
</file>

<file path=xl/tables/table71.xml><?xml version="1.0" encoding="utf-8"?>
<table xmlns="http://schemas.openxmlformats.org/spreadsheetml/2006/main" ref="G23:G31" displayName="Table_71" name="Table_71" id="71">
  <tableColumns count="1">
    <tableColumn name="% Tiempo Equipo" id="1"/>
  </tableColumns>
  <tableStyleInfo name="Copy of PRICING PLANTILLA  1-style 2" showColumnStripes="0" showFirstColumn="1" showLastColumn="1" showRowStripes="1"/>
</table>
</file>

<file path=xl/tables/table72.xml><?xml version="1.0" encoding="utf-8"?>
<table xmlns="http://schemas.openxmlformats.org/spreadsheetml/2006/main" headerRowCount="0" ref="H23:H31" displayName="Table_72" name="Table_72" id="72">
  <tableColumns count="1">
    <tableColumn name="Column1" id="1"/>
  </tableColumns>
  <tableStyleInfo name="Copy of PRICING PLANTILLA  1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3.xml><?xml version="1.0" encoding="utf-8"?>
<table xmlns="http://schemas.openxmlformats.org/spreadsheetml/2006/main" ref="B23:F31" displayName="Table_73" name="Table_73" id="73">
  <tableColumns count="5">
    <tableColumn name="Equipo" id="1"/>
    <tableColumn name="Salario Base" id="2"/>
    <tableColumn name="Tipo Contrato" id="3"/>
    <tableColumn name="Dedicación" id="4"/>
    <tableColumn name="Costo " id="5"/>
  </tableColumns>
  <tableStyleInfo name="Copy of PRICING PLANTILLA -style" showColumnStripes="0" showFirstColumn="1" showLastColumn="1" showRowStripes="1"/>
</table>
</file>

<file path=xl/tables/table74.xml><?xml version="1.0" encoding="utf-8"?>
<table xmlns="http://schemas.openxmlformats.org/spreadsheetml/2006/main" ref="G23:G31" displayName="Table_74" name="Table_74" id="74">
  <tableColumns count="1">
    <tableColumn name="% Tiempo Equipo" id="1"/>
  </tableColumns>
  <tableStyleInfo name="Copy of PRICING PLANTILLA -style 2" showColumnStripes="0" showFirstColumn="1" showLastColumn="1" showRowStripes="1"/>
</table>
</file>

<file path=xl/tables/table75.xml><?xml version="1.0" encoding="utf-8"?>
<table xmlns="http://schemas.openxmlformats.org/spreadsheetml/2006/main" headerRowCount="0" ref="H23:H31" displayName="Table_75" name="Table_75" id="75">
  <tableColumns count="1">
    <tableColumn name="Column1" id="1"/>
  </tableColumns>
  <tableStyleInfo name="Copy of PRICING PLANTILLA 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6.xml><?xml version="1.0" encoding="utf-8"?>
<table xmlns="http://schemas.openxmlformats.org/spreadsheetml/2006/main" ref="B21:J34" displayName="Table_76" name="Table_76" id="76">
  <tableColumns count="9">
    <tableColumn name="Equipo" id="1"/>
    <tableColumn name="Salario Base" id="2"/>
    <tableColumn name="Tipo Contrato" id="3"/>
    <tableColumn name="Costo Total" id="4"/>
    <tableColumn name="Dedicación" id="5"/>
    <tableColumn name="Costo Final" id="6"/>
    <tableColumn name="% Tiempo Equipo" id="7"/>
    <tableColumn name="% Costo Equipo" id="8"/>
    <tableColumn name="PV (USD)" id="9"/>
  </tableColumns>
  <tableStyleInfo name="Copy of PRICING PLANTILLA-style" showColumnStripes="0" showFirstColumn="1" showLastColumn="1" showRowStripes="1"/>
</table>
</file>

<file path=xl/tables/table77.xml><?xml version="1.0" encoding="utf-8"?>
<table xmlns="http://schemas.openxmlformats.org/spreadsheetml/2006/main" ref="C6:H14" displayName="Table_77" name="Table_77" id="77">
  <tableColumns count="6">
    <tableColumn name="Cargo" id="1"/>
    <tableColumn name="Salario" id="2"/>
    <tableColumn name="Tipo de Contrato" id="3"/>
    <tableColumn name="Valor Total" id="4"/>
    <tableColumn name="Factor" id="5"/>
    <tableColumn name="Valor Total 2" id="6"/>
  </tableColumns>
  <tableStyleInfo name="Copy Pricing -style" showColumnStripes="0" showFirstColumn="1" showLastColumn="1" showRowStripes="1"/>
</table>
</file>

<file path=xl/tables/table78.xml><?xml version="1.0" encoding="utf-8"?>
<table xmlns="http://schemas.openxmlformats.org/spreadsheetml/2006/main" headerRowCount="0" ref="C34:F34" displayName="Table_78" name="Table_78" id="78">
  <tableColumns count="4">
    <tableColumn name="Column1" id="1"/>
    <tableColumn name="Column2" id="2"/>
    <tableColumn name="Column3" id="3"/>
    <tableColumn name="Column4" id="4"/>
  </tableColumns>
  <tableStyleInfo name="Copy Pricing -style 2" showColumnStripes="0" showFirstColumn="1" showLastColumn="1" showRowStripes="1"/>
</table>
</file>

<file path=xl/tables/table79.xml><?xml version="1.0" encoding="utf-8"?>
<table xmlns="http://schemas.openxmlformats.org/spreadsheetml/2006/main" headerRowCount="0" ref="C35:F41" displayName="Table_79" name="Table_79" id="79">
  <tableColumns count="4">
    <tableColumn name="Column1" id="1"/>
    <tableColumn name="Column2" id="2"/>
    <tableColumn name="Column3" id="3"/>
    <tableColumn name="Column4" id="4"/>
  </tableColumns>
  <tableStyleInfo name="Copy Pricing 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3.xml"/><Relationship Id="rId42" Type="http://schemas.openxmlformats.org/officeDocument/2006/relationships/table" Target="../tables/table15.xml"/><Relationship Id="rId41" Type="http://schemas.openxmlformats.org/officeDocument/2006/relationships/table" Target="../tables/table14.xml"/><Relationship Id="rId44" Type="http://schemas.openxmlformats.org/officeDocument/2006/relationships/table" Target="../tables/table17.xml"/><Relationship Id="rId43" Type="http://schemas.openxmlformats.org/officeDocument/2006/relationships/table" Target="../tables/table16.xml"/><Relationship Id="rId46" Type="http://schemas.openxmlformats.org/officeDocument/2006/relationships/table" Target="../tables/table19.xml"/><Relationship Id="rId45" Type="http://schemas.openxmlformats.org/officeDocument/2006/relationships/table" Target="../tables/table18.xml"/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Relationship Id="rId48" Type="http://schemas.openxmlformats.org/officeDocument/2006/relationships/table" Target="../tables/table21.xml"/><Relationship Id="rId47" Type="http://schemas.openxmlformats.org/officeDocument/2006/relationships/table" Target="../tables/table20.xml"/><Relationship Id="rId49" Type="http://schemas.openxmlformats.org/officeDocument/2006/relationships/table" Target="../tables/table22.xml"/><Relationship Id="rId29" Type="http://schemas.openxmlformats.org/officeDocument/2006/relationships/table" Target="../tables/table2.xml"/><Relationship Id="rId51" Type="http://schemas.openxmlformats.org/officeDocument/2006/relationships/table" Target="../tables/table24.xml"/><Relationship Id="rId50" Type="http://schemas.openxmlformats.org/officeDocument/2006/relationships/table" Target="../tables/table23.xml"/><Relationship Id="rId31" Type="http://schemas.openxmlformats.org/officeDocument/2006/relationships/table" Target="../tables/table4.xml"/><Relationship Id="rId53" Type="http://schemas.openxmlformats.org/officeDocument/2006/relationships/table" Target="../tables/table26.xml"/><Relationship Id="rId30" Type="http://schemas.openxmlformats.org/officeDocument/2006/relationships/table" Target="../tables/table3.xml"/><Relationship Id="rId52" Type="http://schemas.openxmlformats.org/officeDocument/2006/relationships/table" Target="../tables/table25.xml"/><Relationship Id="rId33" Type="http://schemas.openxmlformats.org/officeDocument/2006/relationships/table" Target="../tables/table6.xml"/><Relationship Id="rId32" Type="http://schemas.openxmlformats.org/officeDocument/2006/relationships/table" Target="../tables/table5.xml"/><Relationship Id="rId54" Type="http://schemas.openxmlformats.org/officeDocument/2006/relationships/table" Target="../tables/table27.xml"/><Relationship Id="rId35" Type="http://schemas.openxmlformats.org/officeDocument/2006/relationships/table" Target="../tables/table8.xml"/><Relationship Id="rId34" Type="http://schemas.openxmlformats.org/officeDocument/2006/relationships/table" Target="../tables/table7.xml"/><Relationship Id="rId37" Type="http://schemas.openxmlformats.org/officeDocument/2006/relationships/table" Target="../tables/table10.xml"/><Relationship Id="rId36" Type="http://schemas.openxmlformats.org/officeDocument/2006/relationships/table" Target="../tables/table9.xml"/><Relationship Id="rId39" Type="http://schemas.openxmlformats.org/officeDocument/2006/relationships/table" Target="../tables/table12.xml"/><Relationship Id="rId38" Type="http://schemas.openxmlformats.org/officeDocument/2006/relationships/table" Target="../tables/table1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5" Type="http://schemas.openxmlformats.org/officeDocument/2006/relationships/table" Target="../tables/table28.xml"/><Relationship Id="rId6" Type="http://schemas.openxmlformats.org/officeDocument/2006/relationships/table" Target="../tables/table29.xml"/><Relationship Id="rId7" Type="http://schemas.openxmlformats.org/officeDocument/2006/relationships/table" Target="../tables/table30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5" Type="http://schemas.openxmlformats.org/officeDocument/2006/relationships/table" Target="../tables/table31.xml"/><Relationship Id="rId6" Type="http://schemas.openxmlformats.org/officeDocument/2006/relationships/table" Target="../tables/table32.xml"/><Relationship Id="rId7" Type="http://schemas.openxmlformats.org/officeDocument/2006/relationships/table" Target="../tables/table3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5" Type="http://schemas.openxmlformats.org/officeDocument/2006/relationships/table" Target="../tables/table34.xml"/><Relationship Id="rId6" Type="http://schemas.openxmlformats.org/officeDocument/2006/relationships/table" Target="../tables/table35.xml"/><Relationship Id="rId7" Type="http://schemas.openxmlformats.org/officeDocument/2006/relationships/table" Target="../tables/table3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5" Type="http://schemas.openxmlformats.org/officeDocument/2006/relationships/table" Target="../tables/table37.xml"/><Relationship Id="rId6" Type="http://schemas.openxmlformats.org/officeDocument/2006/relationships/table" Target="../tables/table38.xml"/><Relationship Id="rId7" Type="http://schemas.openxmlformats.org/officeDocument/2006/relationships/table" Target="../tables/table39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5" Type="http://schemas.openxmlformats.org/officeDocument/2006/relationships/table" Target="../tables/table40.xml"/><Relationship Id="rId6" Type="http://schemas.openxmlformats.org/officeDocument/2006/relationships/table" Target="../tables/table41.xml"/><Relationship Id="rId7" Type="http://schemas.openxmlformats.org/officeDocument/2006/relationships/table" Target="../tables/table42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5" Type="http://schemas.openxmlformats.org/officeDocument/2006/relationships/table" Target="../tables/table43.xml"/><Relationship Id="rId6" Type="http://schemas.openxmlformats.org/officeDocument/2006/relationships/table" Target="../tables/table44.xml"/><Relationship Id="rId7" Type="http://schemas.openxmlformats.org/officeDocument/2006/relationships/table" Target="../tables/table45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5" Type="http://schemas.openxmlformats.org/officeDocument/2006/relationships/table" Target="../tables/table46.xml"/><Relationship Id="rId6" Type="http://schemas.openxmlformats.org/officeDocument/2006/relationships/table" Target="../tables/table47.xml"/><Relationship Id="rId7" Type="http://schemas.openxmlformats.org/officeDocument/2006/relationships/table" Target="../tables/table48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5" Type="http://schemas.openxmlformats.org/officeDocument/2006/relationships/table" Target="../tables/table49.xml"/><Relationship Id="rId6" Type="http://schemas.openxmlformats.org/officeDocument/2006/relationships/table" Target="../tables/table50.xml"/><Relationship Id="rId7" Type="http://schemas.openxmlformats.org/officeDocument/2006/relationships/table" Target="../tables/table5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5" Type="http://schemas.openxmlformats.org/officeDocument/2006/relationships/table" Target="../tables/table52.xml"/><Relationship Id="rId6" Type="http://schemas.openxmlformats.org/officeDocument/2006/relationships/table" Target="../tables/table53.xml"/><Relationship Id="rId7" Type="http://schemas.openxmlformats.org/officeDocument/2006/relationships/table" Target="../tables/table54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5" Type="http://schemas.openxmlformats.org/officeDocument/2006/relationships/table" Target="../tables/table55.xml"/><Relationship Id="rId6" Type="http://schemas.openxmlformats.org/officeDocument/2006/relationships/table" Target="../tables/table56.xml"/><Relationship Id="rId7" Type="http://schemas.openxmlformats.org/officeDocument/2006/relationships/table" Target="../tables/table57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5" Type="http://schemas.openxmlformats.org/officeDocument/2006/relationships/table" Target="../tables/table58.xml"/><Relationship Id="rId6" Type="http://schemas.openxmlformats.org/officeDocument/2006/relationships/table" Target="../tables/table59.xml"/><Relationship Id="rId7" Type="http://schemas.openxmlformats.org/officeDocument/2006/relationships/table" Target="../tables/table60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5" Type="http://schemas.openxmlformats.org/officeDocument/2006/relationships/table" Target="../tables/table61.xml"/><Relationship Id="rId6" Type="http://schemas.openxmlformats.org/officeDocument/2006/relationships/table" Target="../tables/table62.xml"/><Relationship Id="rId7" Type="http://schemas.openxmlformats.org/officeDocument/2006/relationships/table" Target="../tables/table63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5" Type="http://schemas.openxmlformats.org/officeDocument/2006/relationships/table" Target="../tables/table64.xml"/><Relationship Id="rId6" Type="http://schemas.openxmlformats.org/officeDocument/2006/relationships/table" Target="../tables/table65.xml"/><Relationship Id="rId7" Type="http://schemas.openxmlformats.org/officeDocument/2006/relationships/table" Target="../tables/table66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5" Type="http://schemas.openxmlformats.org/officeDocument/2006/relationships/table" Target="../tables/table67.xml"/><Relationship Id="rId6" Type="http://schemas.openxmlformats.org/officeDocument/2006/relationships/table" Target="../tables/table68.xml"/><Relationship Id="rId7" Type="http://schemas.openxmlformats.org/officeDocument/2006/relationships/table" Target="../tables/table69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5" Type="http://schemas.openxmlformats.org/officeDocument/2006/relationships/table" Target="../tables/table70.xml"/><Relationship Id="rId6" Type="http://schemas.openxmlformats.org/officeDocument/2006/relationships/table" Target="../tables/table71.xml"/><Relationship Id="rId7" Type="http://schemas.openxmlformats.org/officeDocument/2006/relationships/table" Target="../tables/table72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5" Type="http://schemas.openxmlformats.org/officeDocument/2006/relationships/table" Target="../tables/table73.xml"/><Relationship Id="rId6" Type="http://schemas.openxmlformats.org/officeDocument/2006/relationships/table" Target="../tables/table74.xml"/><Relationship Id="rId7" Type="http://schemas.openxmlformats.org/officeDocument/2006/relationships/table" Target="../tables/table75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76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5" Type="http://schemas.openxmlformats.org/officeDocument/2006/relationships/table" Target="../tables/table77.xml"/><Relationship Id="rId6" Type="http://schemas.openxmlformats.org/officeDocument/2006/relationships/table" Target="../tables/table78.xml"/><Relationship Id="rId7" Type="http://schemas.openxmlformats.org/officeDocument/2006/relationships/table" Target="../tables/table7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10.71"/>
    <col customWidth="1" min="2" max="2" width="35.0"/>
    <col customWidth="1" min="3" max="3" width="23.14"/>
    <col customWidth="1" min="4" max="4" width="17.0"/>
    <col customWidth="1" min="5" max="7" width="14.86"/>
    <col customWidth="1" min="8" max="8" width="16.14"/>
    <col customWidth="1" min="9" max="10" width="14.86"/>
    <col customWidth="1" min="11" max="11" width="34.29"/>
    <col customWidth="1" min="12" max="12" width="17.29"/>
    <col customWidth="1" min="13" max="13" width="15.57"/>
    <col customWidth="1" min="14" max="14" width="10.71"/>
    <col customWidth="1" min="15" max="15" width="23.14"/>
    <col customWidth="1" min="16" max="16" width="17.57"/>
    <col customWidth="1" min="17" max="17" width="15.71"/>
    <col customWidth="1" min="18" max="18" width="18.86"/>
    <col customWidth="1" hidden="1" min="19" max="19" width="13.71"/>
    <col customWidth="1" hidden="1" min="20" max="20" width="13.43"/>
    <col customWidth="1" hidden="1" min="21" max="31" width="10.71"/>
  </cols>
  <sheetData>
    <row r="1" ht="31.5" hidden="1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"/>
      <c r="P1" s="5" t="s">
        <v>1</v>
      </c>
      <c r="Q1" s="6" t="s">
        <v>2</v>
      </c>
    </row>
    <row r="2" ht="31.5" hidden="1" customHeight="1">
      <c r="A2" s="7"/>
      <c r="B2" s="8"/>
      <c r="C2" s="7"/>
      <c r="O2" s="8"/>
      <c r="P2" s="9" t="s">
        <v>3</v>
      </c>
      <c r="Q2" s="10">
        <v>1.0</v>
      </c>
    </row>
    <row r="3" ht="31.5" hidden="1" customHeight="1">
      <c r="A3" s="11"/>
      <c r="B3" s="12"/>
      <c r="C3" s="11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2"/>
      <c r="P3" s="9" t="s">
        <v>4</v>
      </c>
      <c r="Q3" s="14">
        <v>44171.0</v>
      </c>
    </row>
    <row r="4" ht="14.25" customHeight="1">
      <c r="B4" s="15"/>
      <c r="D4" s="15"/>
      <c r="E4" s="16"/>
      <c r="F4" s="16"/>
    </row>
    <row r="5" ht="14.25" customHeight="1">
      <c r="B5" s="15" t="s">
        <v>5</v>
      </c>
      <c r="E5" s="17" t="s">
        <v>6</v>
      </c>
      <c r="F5" s="18">
        <f>I5*C17</f>
        <v>107310</v>
      </c>
      <c r="G5" s="19" t="s">
        <v>7</v>
      </c>
      <c r="H5" s="20" t="s">
        <v>8</v>
      </c>
      <c r="I5" s="21">
        <f>+((C12+C8+C10)/(1-F6-'Parámetros'!L8*C18))+'Parámetros'!L9*C18</f>
        <v>1073100</v>
      </c>
      <c r="K5" s="22"/>
      <c r="L5" s="23"/>
      <c r="M5" s="24"/>
      <c r="N5" s="24"/>
    </row>
    <row r="6" ht="14.25" customHeight="1">
      <c r="B6" s="25"/>
      <c r="E6" s="17" t="s">
        <v>9</v>
      </c>
      <c r="F6" s="26">
        <v>0.5</v>
      </c>
      <c r="G6" s="27"/>
      <c r="H6" s="20" t="s">
        <v>10</v>
      </c>
      <c r="I6" s="21">
        <f>I5/'Parámetros'!L3</f>
        <v>302.2816901</v>
      </c>
      <c r="K6" s="22"/>
      <c r="N6" s="28"/>
      <c r="O6" s="28"/>
      <c r="P6" s="28"/>
    </row>
    <row r="7" ht="14.25" customHeight="1">
      <c r="B7" s="29" t="s">
        <v>11</v>
      </c>
      <c r="C7" s="30"/>
      <c r="E7" s="17" t="s">
        <v>12</v>
      </c>
      <c r="F7" s="18">
        <f>(I5-F5-C12)*'Parámetros'!L6</f>
        <v>0</v>
      </c>
      <c r="G7" s="27"/>
      <c r="H7" s="20" t="s">
        <v>13</v>
      </c>
      <c r="I7" s="31">
        <v>180.0</v>
      </c>
      <c r="K7" s="32"/>
      <c r="L7" s="33"/>
      <c r="N7" s="28"/>
      <c r="O7" s="28"/>
      <c r="P7" s="28"/>
    </row>
    <row r="8" ht="14.25" customHeight="1">
      <c r="B8" s="34" t="s">
        <v>14</v>
      </c>
      <c r="C8" s="35">
        <f>G20</f>
        <v>0</v>
      </c>
      <c r="E8" s="17" t="s">
        <v>15</v>
      </c>
      <c r="F8" s="18">
        <f>I5*'Parámetros'!L5</f>
        <v>7404.39</v>
      </c>
      <c r="G8" s="27"/>
      <c r="H8" s="20" t="s">
        <v>16</v>
      </c>
      <c r="I8" s="36">
        <f>I6/I7</f>
        <v>1.679342723</v>
      </c>
      <c r="K8" s="32"/>
      <c r="L8" s="37"/>
      <c r="M8" s="38"/>
      <c r="N8" s="39"/>
    </row>
    <row r="9" ht="14.25" customHeight="1">
      <c r="B9" s="40" t="s">
        <v>17</v>
      </c>
      <c r="C9" s="41">
        <f>C11+C12+C10</f>
        <v>536550</v>
      </c>
      <c r="E9" s="17" t="s">
        <v>18</v>
      </c>
      <c r="F9" s="42">
        <f>(I5-C13-F8-F5-C18*'Parámetros'!L8*I5)/I5</f>
        <v>0.3931</v>
      </c>
      <c r="G9" s="43"/>
      <c r="K9" s="22"/>
      <c r="M9" s="44"/>
      <c r="N9" s="45"/>
    </row>
    <row r="10" ht="14.25" customHeight="1" outlineLevel="1">
      <c r="B10" s="34" t="s">
        <v>19</v>
      </c>
      <c r="C10" s="46">
        <f>6000000/30*F20*1.095</f>
        <v>536550</v>
      </c>
      <c r="K10" s="22"/>
    </row>
    <row r="11" ht="14.25" customHeight="1">
      <c r="B11" s="34" t="s">
        <v>20</v>
      </c>
      <c r="C11" s="46">
        <f>H20*AVERAGE('Parámetros'!G5:G6)*IF(C19=1,15%,1)</f>
        <v>0</v>
      </c>
      <c r="K11" s="22"/>
    </row>
    <row r="12" ht="14.25" customHeight="1">
      <c r="B12" s="34" t="s">
        <v>21</v>
      </c>
      <c r="C12" s="46">
        <f>H20*AVERAGE('Parámetros'!H5:H6)*IF(C19=1,15%,1)</f>
        <v>0</v>
      </c>
      <c r="E12" s="17" t="s">
        <v>6</v>
      </c>
      <c r="F12" s="18">
        <f>I12*C17</f>
        <v>60077.25899</v>
      </c>
      <c r="G12" s="47" t="s">
        <v>22</v>
      </c>
      <c r="H12" s="48" t="s">
        <v>8</v>
      </c>
      <c r="I12" s="49">
        <f>+(C13/(1-C17-F13-'Parámetros'!L5-'Parámetros'!L8*C18))+('Parámetros'!L9*C18)</f>
        <v>600772.5899</v>
      </c>
      <c r="K12" s="32"/>
      <c r="L12" s="33"/>
    </row>
    <row r="13" ht="14.25" customHeight="1">
      <c r="B13" s="50" t="s">
        <v>23</v>
      </c>
      <c r="C13" s="51">
        <f>C8+C9</f>
        <v>536550</v>
      </c>
      <c r="E13" s="17" t="s">
        <v>18</v>
      </c>
      <c r="F13" s="52">
        <v>0.0</v>
      </c>
      <c r="G13" s="27"/>
      <c r="H13" s="53" t="s">
        <v>10</v>
      </c>
      <c r="I13" s="54">
        <f>I12/'Parámetros'!L3</f>
        <v>169.2317155</v>
      </c>
      <c r="K13" s="22"/>
      <c r="L13" s="55"/>
    </row>
    <row r="14" ht="14.25" customHeight="1">
      <c r="B14" s="15"/>
      <c r="E14" s="17" t="s">
        <v>12</v>
      </c>
      <c r="F14" s="18">
        <f>(I12-F13-C12)*'Parámetros'!L6</f>
        <v>0</v>
      </c>
      <c r="G14" s="27"/>
      <c r="H14" s="48" t="s">
        <v>13</v>
      </c>
      <c r="I14" s="56">
        <v>180.0</v>
      </c>
    </row>
    <row r="15" ht="14.25" customHeight="1">
      <c r="B15" s="57" t="s">
        <v>24</v>
      </c>
      <c r="C15" s="58">
        <v>0.1</v>
      </c>
      <c r="E15" s="17" t="s">
        <v>15</v>
      </c>
      <c r="F15" s="18">
        <f>I12*'Parámetros'!L5</f>
        <v>4145.33087</v>
      </c>
      <c r="G15" s="43"/>
      <c r="H15" s="53" t="s">
        <v>16</v>
      </c>
      <c r="I15" s="59">
        <f>I13/I14</f>
        <v>0.940176197</v>
      </c>
    </row>
    <row r="16" ht="14.25" customHeight="1">
      <c r="B16" s="57" t="s">
        <v>25</v>
      </c>
      <c r="C16" s="57" t="s">
        <v>26</v>
      </c>
    </row>
    <row r="17" ht="14.25" customHeight="1" outlineLevel="1">
      <c r="B17" s="57" t="s">
        <v>27</v>
      </c>
      <c r="C17" s="60">
        <f>IF('PRICING PLANTILLA'!C16="Nómina",C15*1.38522,C15)</f>
        <v>0.1</v>
      </c>
    </row>
    <row r="18" ht="15.75" customHeight="1">
      <c r="B18" s="57" t="s">
        <v>28</v>
      </c>
      <c r="C18" s="57">
        <v>0.0</v>
      </c>
      <c r="F18" s="16" t="s">
        <v>29</v>
      </c>
    </row>
    <row r="19" ht="14.25" customHeight="1">
      <c r="B19" s="57" t="s">
        <v>30</v>
      </c>
      <c r="C19" s="57">
        <v>0.0</v>
      </c>
      <c r="F19" s="61"/>
    </row>
    <row r="20" ht="14.25" customHeight="1">
      <c r="B20" s="62"/>
      <c r="F20" s="63">
        <f t="shared" ref="F20:H20" si="1">SUM(F22:F34)</f>
        <v>2.45</v>
      </c>
      <c r="G20" s="51">
        <f t="shared" si="1"/>
        <v>0</v>
      </c>
      <c r="H20" s="64">
        <f t="shared" si="1"/>
        <v>0</v>
      </c>
      <c r="I20" s="25"/>
      <c r="J20" s="25"/>
      <c r="Q20" s="55"/>
    </row>
    <row r="21" ht="14.25" customHeight="1">
      <c r="B21" s="65" t="s">
        <v>31</v>
      </c>
      <c r="C21" s="65" t="s">
        <v>32</v>
      </c>
      <c r="D21" s="65" t="s">
        <v>33</v>
      </c>
      <c r="E21" s="65" t="s">
        <v>34</v>
      </c>
      <c r="F21" s="66" t="s">
        <v>35</v>
      </c>
      <c r="G21" s="66" t="s">
        <v>36</v>
      </c>
      <c r="H21" s="66" t="s">
        <v>37</v>
      </c>
      <c r="I21" s="66" t="s">
        <v>38</v>
      </c>
      <c r="J21" s="66" t="s">
        <v>39</v>
      </c>
      <c r="K21" s="67"/>
    </row>
    <row r="22" ht="14.25" customHeight="1">
      <c r="A22" s="55"/>
      <c r="B22" s="66" t="s">
        <v>40</v>
      </c>
      <c r="C22" s="68" t="str">
        <f>iferror(VLOOKUP(B22,'Parámetros'!A$1:B120,2, FALSE),"")</f>
        <v/>
      </c>
      <c r="D22" s="69" t="s">
        <v>41</v>
      </c>
      <c r="E22" s="70">
        <f t="shared" ref="E22:E34" si="2">+iferror(IF(D22="Nómina",C22*1.38352,C22),"")</f>
        <v>0</v>
      </c>
      <c r="F22" s="71">
        <v>1.0</v>
      </c>
      <c r="G22" s="70">
        <f t="shared" ref="G22:G34" si="3">E22*F22</f>
        <v>0</v>
      </c>
      <c r="H22" s="72">
        <f>G22/(AVERAGE('Parámetros'!$F$5:$F$6)+$G$20)</f>
        <v>0</v>
      </c>
      <c r="I22" s="72" t="str">
        <f t="shared" ref="I22:I34" si="4">G22/$G$20</f>
        <v>#DIV/0!</v>
      </c>
      <c r="J22" s="70" t="str">
        <f t="shared" ref="J22:J34" si="5">$I$13*I22</f>
        <v>#DIV/0!</v>
      </c>
      <c r="K22" s="73"/>
    </row>
    <row r="23" ht="14.25" customHeight="1">
      <c r="A23" s="55"/>
      <c r="B23" s="66" t="s">
        <v>42</v>
      </c>
      <c r="C23" s="68" t="str">
        <f>iferror(VLOOKUP(B23,'Parámetros'!A$1:B121,2, FALSE),"")</f>
        <v/>
      </c>
      <c r="D23" s="69" t="s">
        <v>41</v>
      </c>
      <c r="E23" s="70">
        <f t="shared" si="2"/>
        <v>0</v>
      </c>
      <c r="F23" s="71">
        <v>0.25</v>
      </c>
      <c r="G23" s="70">
        <f t="shared" si="3"/>
        <v>0</v>
      </c>
      <c r="H23" s="72">
        <f>G23/(AVERAGE('Parámetros'!$F$5:$F$6)+$G$20)</f>
        <v>0</v>
      </c>
      <c r="I23" s="72" t="str">
        <f t="shared" si="4"/>
        <v>#DIV/0!</v>
      </c>
      <c r="J23" s="70" t="str">
        <f t="shared" si="5"/>
        <v>#DIV/0!</v>
      </c>
      <c r="K23" s="73"/>
      <c r="Q23" s="74"/>
    </row>
    <row r="24" ht="14.25" customHeight="1">
      <c r="A24" s="55"/>
      <c r="B24" s="66" t="s">
        <v>43</v>
      </c>
      <c r="C24" s="68" t="str">
        <f>iferror(VLOOKUP(B24,'Parámetros'!A$1:B122,2, FALSE),"")</f>
        <v/>
      </c>
      <c r="D24" s="69" t="s">
        <v>41</v>
      </c>
      <c r="E24" s="70">
        <f t="shared" si="2"/>
        <v>0</v>
      </c>
      <c r="F24" s="71">
        <v>0.2</v>
      </c>
      <c r="G24" s="70">
        <f t="shared" si="3"/>
        <v>0</v>
      </c>
      <c r="H24" s="72">
        <f>G24/(AVERAGE('Parámetros'!$F$5:$F$6)+$G$20)</f>
        <v>0</v>
      </c>
      <c r="I24" s="72" t="str">
        <f t="shared" si="4"/>
        <v>#DIV/0!</v>
      </c>
      <c r="J24" s="70" t="str">
        <f t="shared" si="5"/>
        <v>#DIV/0!</v>
      </c>
      <c r="K24" s="73"/>
    </row>
    <row r="25" ht="14.25" customHeight="1">
      <c r="A25" s="55"/>
      <c r="B25" s="66"/>
      <c r="C25" s="68" t="str">
        <f>iferror(VLOOKUP(B25,'Parámetros'!A$1:B123,2, FALSE),"")</f>
        <v/>
      </c>
      <c r="D25" s="69" t="s">
        <v>41</v>
      </c>
      <c r="E25" s="70">
        <f t="shared" si="2"/>
        <v>0</v>
      </c>
      <c r="F25" s="71">
        <v>1.0</v>
      </c>
      <c r="G25" s="70">
        <f t="shared" si="3"/>
        <v>0</v>
      </c>
      <c r="H25" s="72">
        <f>G25/(AVERAGE('Parámetros'!$F$5:$F$6)+$G$20)</f>
        <v>0</v>
      </c>
      <c r="I25" s="72" t="str">
        <f t="shared" si="4"/>
        <v>#DIV/0!</v>
      </c>
      <c r="J25" s="70" t="str">
        <f t="shared" si="5"/>
        <v>#DIV/0!</v>
      </c>
      <c r="K25" s="73"/>
    </row>
    <row r="26" ht="14.25" customHeight="1" collapsed="1">
      <c r="A26" s="55"/>
      <c r="B26" s="66"/>
      <c r="C26" s="68" t="str">
        <f>iferror(VLOOKUP(B26,'Parámetros'!A$1:B124,2, FALSE),"")</f>
        <v/>
      </c>
      <c r="D26" s="69"/>
      <c r="E26" s="70" t="str">
        <f t="shared" si="2"/>
        <v/>
      </c>
      <c r="F26" s="71"/>
      <c r="G26" s="70">
        <f t="shared" si="3"/>
        <v>0</v>
      </c>
      <c r="H26" s="72">
        <f>G26/AVERAGE('Parámetros'!$F$5:$F$6)</f>
        <v>0</v>
      </c>
      <c r="I26" s="72" t="str">
        <f t="shared" si="4"/>
        <v>#DIV/0!</v>
      </c>
      <c r="J26" s="70" t="str">
        <f t="shared" si="5"/>
        <v>#DIV/0!</v>
      </c>
      <c r="K26" s="73"/>
    </row>
    <row r="27" ht="14.25" hidden="1" customHeight="1" outlineLevel="1">
      <c r="A27" s="55"/>
      <c r="B27" s="69"/>
      <c r="C27" s="68" t="str">
        <f>iferror(VLOOKUP(B27,'Parámetros'!A$1:B126,2, FALSE),"")</f>
        <v/>
      </c>
      <c r="D27" s="66"/>
      <c r="E27" s="70" t="str">
        <f t="shared" si="2"/>
        <v/>
      </c>
      <c r="F27" s="71"/>
      <c r="G27" s="70">
        <f t="shared" si="3"/>
        <v>0</v>
      </c>
      <c r="H27" s="72"/>
      <c r="I27" s="72" t="str">
        <f t="shared" si="4"/>
        <v>#DIV/0!</v>
      </c>
      <c r="J27" s="70" t="str">
        <f t="shared" si="5"/>
        <v>#DIV/0!</v>
      </c>
    </row>
    <row r="28" ht="14.25" hidden="1" customHeight="1" outlineLevel="1">
      <c r="A28" s="55"/>
      <c r="B28" s="69"/>
      <c r="C28" s="68" t="str">
        <f>iferror(VLOOKUP(B28,'Parámetros'!A$1:B126,2, FALSE),"")</f>
        <v/>
      </c>
      <c r="D28" s="66"/>
      <c r="E28" s="70" t="str">
        <f t="shared" si="2"/>
        <v/>
      </c>
      <c r="F28" s="71"/>
      <c r="G28" s="70">
        <f t="shared" si="3"/>
        <v>0</v>
      </c>
      <c r="H28" s="72"/>
      <c r="I28" s="72" t="str">
        <f t="shared" si="4"/>
        <v>#DIV/0!</v>
      </c>
      <c r="J28" s="70" t="str">
        <f t="shared" si="5"/>
        <v>#DIV/0!</v>
      </c>
    </row>
    <row r="29" ht="14.25" hidden="1" customHeight="1" outlineLevel="1">
      <c r="A29" s="55"/>
      <c r="B29" s="69"/>
      <c r="C29" s="68" t="str">
        <f>iferror(VLOOKUP(B29,'Parámetros'!A$1:B126,2, FALSE),"")</f>
        <v/>
      </c>
      <c r="D29" s="66" t="s">
        <v>41</v>
      </c>
      <c r="E29" s="70">
        <f t="shared" si="2"/>
        <v>0</v>
      </c>
      <c r="F29" s="75"/>
      <c r="G29" s="70">
        <f t="shared" si="3"/>
        <v>0</v>
      </c>
      <c r="H29" s="72"/>
      <c r="I29" s="72" t="str">
        <f t="shared" si="4"/>
        <v>#DIV/0!</v>
      </c>
      <c r="J29" s="70" t="str">
        <f t="shared" si="5"/>
        <v>#DIV/0!</v>
      </c>
    </row>
    <row r="30" ht="14.25" hidden="1" customHeight="1" outlineLevel="1">
      <c r="A30" s="55"/>
      <c r="B30" s="69"/>
      <c r="C30" s="68" t="str">
        <f>iferror(VLOOKUP(B30,'Parámetros'!A$1:B126,2, FALSE),"")</f>
        <v/>
      </c>
      <c r="D30" s="66"/>
      <c r="E30" s="70" t="str">
        <f t="shared" si="2"/>
        <v/>
      </c>
      <c r="F30" s="71"/>
      <c r="G30" s="70">
        <f t="shared" si="3"/>
        <v>0</v>
      </c>
      <c r="H30" s="72"/>
      <c r="I30" s="72" t="str">
        <f t="shared" si="4"/>
        <v>#DIV/0!</v>
      </c>
      <c r="J30" s="70" t="str">
        <f t="shared" si="5"/>
        <v>#DIV/0!</v>
      </c>
    </row>
    <row r="31" ht="14.25" hidden="1" customHeight="1" outlineLevel="1">
      <c r="A31" s="55"/>
      <c r="B31" s="69"/>
      <c r="C31" s="68" t="str">
        <f>iferror(VLOOKUP(B31,'Parámetros'!A$1:B126,2, FALSE),"")</f>
        <v/>
      </c>
      <c r="D31" s="66"/>
      <c r="E31" s="70" t="str">
        <f t="shared" si="2"/>
        <v/>
      </c>
      <c r="F31" s="71"/>
      <c r="G31" s="70">
        <f t="shared" si="3"/>
        <v>0</v>
      </c>
      <c r="H31" s="72"/>
      <c r="I31" s="72" t="str">
        <f t="shared" si="4"/>
        <v>#DIV/0!</v>
      </c>
      <c r="J31" s="70" t="str">
        <f t="shared" si="5"/>
        <v>#DIV/0!</v>
      </c>
    </row>
    <row r="32" ht="14.25" hidden="1" customHeight="1" outlineLevel="1">
      <c r="A32" s="55"/>
      <c r="B32" s="69"/>
      <c r="C32" s="68" t="str">
        <f>iferror(VLOOKUP(B32,'Parámetros'!A$1:B126,2, FALSE),"")</f>
        <v/>
      </c>
      <c r="D32" s="66"/>
      <c r="E32" s="70" t="str">
        <f t="shared" si="2"/>
        <v/>
      </c>
      <c r="F32" s="71"/>
      <c r="G32" s="70">
        <f t="shared" si="3"/>
        <v>0</v>
      </c>
      <c r="H32" s="72"/>
      <c r="I32" s="72" t="str">
        <f t="shared" si="4"/>
        <v>#DIV/0!</v>
      </c>
      <c r="J32" s="70" t="str">
        <f t="shared" si="5"/>
        <v>#DIV/0!</v>
      </c>
    </row>
    <row r="33" ht="14.25" hidden="1" customHeight="1" outlineLevel="1">
      <c r="A33" s="55"/>
      <c r="B33" s="69"/>
      <c r="C33" s="68" t="str">
        <f>iferror(VLOOKUP(B33,'Parámetros'!A$1:B126,2, FALSE),"")</f>
        <v/>
      </c>
      <c r="D33" s="66"/>
      <c r="E33" s="70" t="str">
        <f t="shared" si="2"/>
        <v/>
      </c>
      <c r="F33" s="71"/>
      <c r="G33" s="70">
        <f t="shared" si="3"/>
        <v>0</v>
      </c>
      <c r="H33" s="72"/>
      <c r="I33" s="72" t="str">
        <f t="shared" si="4"/>
        <v>#DIV/0!</v>
      </c>
      <c r="J33" s="70" t="str">
        <f t="shared" si="5"/>
        <v>#DIV/0!</v>
      </c>
    </row>
    <row r="34" ht="14.25" hidden="1" customHeight="1" outlineLevel="1">
      <c r="A34" s="55"/>
      <c r="B34" s="69"/>
      <c r="C34" s="68" t="str">
        <f>iferror(VLOOKUP(B34,'Parámetros'!A$1:B126,2, FALSE),"")</f>
        <v/>
      </c>
      <c r="D34" s="66" t="s">
        <v>41</v>
      </c>
      <c r="E34" s="70">
        <f t="shared" si="2"/>
        <v>0</v>
      </c>
      <c r="F34" s="71"/>
      <c r="G34" s="70">
        <f t="shared" si="3"/>
        <v>0</v>
      </c>
      <c r="H34" s="72"/>
      <c r="I34" s="72" t="str">
        <f t="shared" si="4"/>
        <v>#DIV/0!</v>
      </c>
      <c r="J34" s="70" t="str">
        <f t="shared" si="5"/>
        <v>#DIV/0!</v>
      </c>
    </row>
    <row r="35" ht="14.25" customHeight="1"/>
    <row r="36" ht="14.25" customHeight="1">
      <c r="B36" s="76" t="s">
        <v>44</v>
      </c>
      <c r="C36" s="77"/>
      <c r="D36" s="67"/>
      <c r="K36" s="76" t="s">
        <v>45</v>
      </c>
      <c r="Q36" s="78"/>
    </row>
    <row r="37" ht="14.25" customHeight="1">
      <c r="B37" s="15" t="s">
        <v>46</v>
      </c>
      <c r="C37" s="16" t="s">
        <v>9</v>
      </c>
      <c r="K37" s="15" t="s">
        <v>46</v>
      </c>
      <c r="L37" s="16" t="s">
        <v>9</v>
      </c>
    </row>
    <row r="38" ht="14.25" customHeight="1"/>
    <row r="39" ht="14.25" customHeight="1">
      <c r="B39" s="79" t="s">
        <v>47</v>
      </c>
      <c r="C39" s="80" t="s">
        <v>35</v>
      </c>
      <c r="D39" s="79" t="s">
        <v>48</v>
      </c>
      <c r="E39" s="79" t="s">
        <v>49</v>
      </c>
      <c r="F39" s="79" t="s">
        <v>50</v>
      </c>
      <c r="K39" s="79" t="s">
        <v>47</v>
      </c>
      <c r="L39" s="80" t="s">
        <v>35</v>
      </c>
      <c r="M39" s="79" t="s">
        <v>48</v>
      </c>
      <c r="N39" s="79" t="s">
        <v>51</v>
      </c>
      <c r="O39" s="81" t="s">
        <v>50</v>
      </c>
    </row>
    <row r="40" ht="14.25" customHeight="1">
      <c r="B40" s="82" t="str">
        <f t="shared" ref="B40:B48" si="7">B22</f>
        <v>Software Developer Junior Nivel 1</v>
      </c>
      <c r="C40" s="83">
        <f t="shared" ref="C40:C48" si="8">F22</f>
        <v>1</v>
      </c>
      <c r="D40" s="84">
        <f t="shared" ref="D40:D48" si="9">C40*180</f>
        <v>180</v>
      </c>
      <c r="E40" s="85" t="str">
        <f t="shared" ref="E40:E48" si="10">IF(C$37="Gross Margin",I22*$I$5,IF(C$37="Net Margin",I22*$I$12,"Error"))</f>
        <v>#DIV/0!</v>
      </c>
      <c r="F40" s="85">
        <f t="shared" ref="F40:F48" si="11">iferror(E40/D40,0)</f>
        <v>0</v>
      </c>
      <c r="K40" s="82" t="str">
        <f t="shared" ref="K40:M40" si="6">B40</f>
        <v>Software Developer Junior Nivel 1</v>
      </c>
      <c r="L40" s="83">
        <f t="shared" si="6"/>
        <v>1</v>
      </c>
      <c r="M40" s="84">
        <f t="shared" si="6"/>
        <v>180</v>
      </c>
      <c r="N40" s="85" t="str">
        <f>E40/'Parámetros'!$L$3</f>
        <v>#DIV/0!</v>
      </c>
      <c r="O40" s="86">
        <f t="shared" ref="O40:O48" si="13">iferror(N40/M40,0)</f>
        <v>0</v>
      </c>
    </row>
    <row r="41" ht="14.25" customHeight="1">
      <c r="B41" s="82" t="str">
        <f t="shared" si="7"/>
        <v>Project Analyst Junior</v>
      </c>
      <c r="C41" s="83">
        <f t="shared" si="8"/>
        <v>0.25</v>
      </c>
      <c r="D41" s="84">
        <f t="shared" si="9"/>
        <v>45</v>
      </c>
      <c r="E41" s="85" t="str">
        <f t="shared" si="10"/>
        <v>#DIV/0!</v>
      </c>
      <c r="F41" s="85">
        <f t="shared" si="11"/>
        <v>0</v>
      </c>
      <c r="K41" s="82" t="str">
        <f t="shared" ref="K41:M41" si="12">B41</f>
        <v>Project Analyst Junior</v>
      </c>
      <c r="L41" s="83">
        <f t="shared" si="12"/>
        <v>0.25</v>
      </c>
      <c r="M41" s="84">
        <f t="shared" si="12"/>
        <v>45</v>
      </c>
      <c r="N41" s="85" t="str">
        <f>E41/'Parámetros'!$L$3</f>
        <v>#DIV/0!</v>
      </c>
      <c r="O41" s="86">
        <f t="shared" si="13"/>
        <v>0</v>
      </c>
    </row>
    <row r="42" ht="14.25" customHeight="1">
      <c r="B42" s="82" t="str">
        <f t="shared" si="7"/>
        <v>Diseñador Junior</v>
      </c>
      <c r="C42" s="83">
        <f t="shared" si="8"/>
        <v>0.2</v>
      </c>
      <c r="D42" s="84">
        <f t="shared" si="9"/>
        <v>36</v>
      </c>
      <c r="E42" s="85" t="str">
        <f t="shared" si="10"/>
        <v>#DIV/0!</v>
      </c>
      <c r="F42" s="85">
        <f t="shared" si="11"/>
        <v>0</v>
      </c>
      <c r="K42" s="82" t="str">
        <f t="shared" ref="K42:M42" si="14">B42</f>
        <v>Diseñador Junior</v>
      </c>
      <c r="L42" s="83">
        <f t="shared" si="14"/>
        <v>0.2</v>
      </c>
      <c r="M42" s="84">
        <f t="shared" si="14"/>
        <v>36</v>
      </c>
      <c r="N42" s="85" t="str">
        <f>E42/'Parámetros'!$L$3</f>
        <v>#DIV/0!</v>
      </c>
      <c r="O42" s="86">
        <f t="shared" si="13"/>
        <v>0</v>
      </c>
    </row>
    <row r="43" ht="14.25" customHeight="1" collapsed="1">
      <c r="B43" s="82" t="str">
        <f t="shared" si="7"/>
        <v/>
      </c>
      <c r="C43" s="83">
        <f t="shared" si="8"/>
        <v>1</v>
      </c>
      <c r="D43" s="84">
        <f t="shared" si="9"/>
        <v>180</v>
      </c>
      <c r="E43" s="85" t="str">
        <f t="shared" si="10"/>
        <v>#DIV/0!</v>
      </c>
      <c r="F43" s="85">
        <f t="shared" si="11"/>
        <v>0</v>
      </c>
      <c r="K43" s="82" t="str">
        <f t="shared" ref="K43:M43" si="15">B43</f>
        <v/>
      </c>
      <c r="L43" s="83">
        <f t="shared" si="15"/>
        <v>1</v>
      </c>
      <c r="M43" s="84">
        <f t="shared" si="15"/>
        <v>180</v>
      </c>
      <c r="N43" s="85" t="str">
        <f>E43/'Parámetros'!$L$3</f>
        <v>#DIV/0!</v>
      </c>
      <c r="O43" s="86">
        <f t="shared" si="13"/>
        <v>0</v>
      </c>
    </row>
    <row r="44" ht="14.25" hidden="1" customHeight="1" outlineLevel="1">
      <c r="B44" s="82" t="str">
        <f t="shared" si="7"/>
        <v/>
      </c>
      <c r="C44" s="83" t="str">
        <f t="shared" si="8"/>
        <v/>
      </c>
      <c r="D44" s="84">
        <f t="shared" si="9"/>
        <v>0</v>
      </c>
      <c r="E44" s="85" t="str">
        <f t="shared" si="10"/>
        <v>#DIV/0!</v>
      </c>
      <c r="F44" s="85">
        <f t="shared" si="11"/>
        <v>0</v>
      </c>
      <c r="K44" s="82" t="str">
        <f t="shared" ref="K44:M44" si="16">B44</f>
        <v/>
      </c>
      <c r="L44" s="83" t="str">
        <f t="shared" si="16"/>
        <v/>
      </c>
      <c r="M44" s="84">
        <f t="shared" si="16"/>
        <v>0</v>
      </c>
      <c r="N44" s="85" t="str">
        <f>E44/'Parámetros'!$L$3</f>
        <v>#DIV/0!</v>
      </c>
      <c r="O44" s="86">
        <f t="shared" si="13"/>
        <v>0</v>
      </c>
    </row>
    <row r="45" ht="14.25" hidden="1" customHeight="1" outlineLevel="1">
      <c r="B45" s="82" t="str">
        <f t="shared" si="7"/>
        <v/>
      </c>
      <c r="C45" s="83" t="str">
        <f t="shared" si="8"/>
        <v/>
      </c>
      <c r="D45" s="84">
        <f t="shared" si="9"/>
        <v>0</v>
      </c>
      <c r="E45" s="85" t="str">
        <f t="shared" si="10"/>
        <v>#DIV/0!</v>
      </c>
      <c r="F45" s="85">
        <f t="shared" si="11"/>
        <v>0</v>
      </c>
      <c r="K45" s="82" t="str">
        <f t="shared" ref="K45:M45" si="17">B45</f>
        <v/>
      </c>
      <c r="L45" s="83" t="str">
        <f t="shared" si="17"/>
        <v/>
      </c>
      <c r="M45" s="84">
        <f t="shared" si="17"/>
        <v>0</v>
      </c>
      <c r="N45" s="85" t="str">
        <f>E45/'Parámetros'!$L$3</f>
        <v>#DIV/0!</v>
      </c>
      <c r="O45" s="86">
        <f t="shared" si="13"/>
        <v>0</v>
      </c>
    </row>
    <row r="46" ht="14.25" hidden="1" customHeight="1" outlineLevel="1">
      <c r="B46" s="82" t="str">
        <f t="shared" si="7"/>
        <v/>
      </c>
      <c r="C46" s="83" t="str">
        <f t="shared" si="8"/>
        <v/>
      </c>
      <c r="D46" s="84">
        <f t="shared" si="9"/>
        <v>0</v>
      </c>
      <c r="E46" s="85" t="str">
        <f t="shared" si="10"/>
        <v>#DIV/0!</v>
      </c>
      <c r="F46" s="85">
        <f t="shared" si="11"/>
        <v>0</v>
      </c>
      <c r="K46" s="82" t="str">
        <f t="shared" ref="K46:M46" si="18">B46</f>
        <v/>
      </c>
      <c r="L46" s="83" t="str">
        <f t="shared" si="18"/>
        <v/>
      </c>
      <c r="M46" s="84">
        <f t="shared" si="18"/>
        <v>0</v>
      </c>
      <c r="N46" s="85" t="str">
        <f>E46/'Parámetros'!$L$3</f>
        <v>#DIV/0!</v>
      </c>
      <c r="O46" s="86">
        <f t="shared" si="13"/>
        <v>0</v>
      </c>
    </row>
    <row r="47" ht="14.25" hidden="1" customHeight="1" outlineLevel="1">
      <c r="B47" s="82" t="str">
        <f t="shared" si="7"/>
        <v/>
      </c>
      <c r="C47" s="83" t="str">
        <f t="shared" si="8"/>
        <v/>
      </c>
      <c r="D47" s="84">
        <f t="shared" si="9"/>
        <v>0</v>
      </c>
      <c r="E47" s="85" t="str">
        <f t="shared" si="10"/>
        <v>#DIV/0!</v>
      </c>
      <c r="F47" s="85">
        <f t="shared" si="11"/>
        <v>0</v>
      </c>
      <c r="K47" s="82" t="str">
        <f t="shared" ref="K47:M47" si="19">B47</f>
        <v/>
      </c>
      <c r="L47" s="83" t="str">
        <f t="shared" si="19"/>
        <v/>
      </c>
      <c r="M47" s="84">
        <f t="shared" si="19"/>
        <v>0</v>
      </c>
      <c r="N47" s="85" t="str">
        <f>E47/'Parámetros'!$L$3</f>
        <v>#DIV/0!</v>
      </c>
      <c r="O47" s="86">
        <f t="shared" si="13"/>
        <v>0</v>
      </c>
    </row>
    <row r="48" ht="14.25" hidden="1" customHeight="1" outlineLevel="1">
      <c r="B48" s="82" t="str">
        <f t="shared" si="7"/>
        <v/>
      </c>
      <c r="C48" s="83" t="str">
        <f t="shared" si="8"/>
        <v/>
      </c>
      <c r="D48" s="84">
        <f t="shared" si="9"/>
        <v>0</v>
      </c>
      <c r="E48" s="85" t="str">
        <f t="shared" si="10"/>
        <v>#DIV/0!</v>
      </c>
      <c r="F48" s="85">
        <f t="shared" si="11"/>
        <v>0</v>
      </c>
      <c r="K48" s="82" t="str">
        <f t="shared" ref="K48:M48" si="20">B48</f>
        <v/>
      </c>
      <c r="L48" s="83" t="str">
        <f t="shared" si="20"/>
        <v/>
      </c>
      <c r="M48" s="84">
        <f t="shared" si="20"/>
        <v>0</v>
      </c>
      <c r="N48" s="85" t="str">
        <f>E48/'Parámetros'!$L$3</f>
        <v>#DIV/0!</v>
      </c>
      <c r="O48" s="86">
        <f t="shared" si="13"/>
        <v>0</v>
      </c>
    </row>
    <row r="49" ht="14.25" customHeight="1">
      <c r="B49" s="87"/>
      <c r="C49" s="79" t="s">
        <v>52</v>
      </c>
      <c r="D49" s="88">
        <f>SUM(D40:D45)</f>
        <v>441</v>
      </c>
      <c r="E49" s="89" t="str">
        <f>SUM(E40:E48)</f>
        <v>#DIV/0!</v>
      </c>
      <c r="F49" s="89" t="str">
        <f>E49/D49</f>
        <v>#DIV/0!</v>
      </c>
      <c r="K49" s="87"/>
      <c r="L49" s="79" t="s">
        <v>52</v>
      </c>
      <c r="M49" s="88">
        <f t="shared" ref="M49:N49" si="21">SUM(M40:M45)</f>
        <v>441</v>
      </c>
      <c r="N49" s="89" t="str">
        <f t="shared" si="21"/>
        <v>#DIV/0!</v>
      </c>
      <c r="O49" s="89" t="str">
        <f>N49/M49</f>
        <v>#DIV/0!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>
      <c r="L58" s="90"/>
      <c r="M58" s="91"/>
      <c r="N58" s="92"/>
      <c r="O58" s="93"/>
      <c r="P58" s="94"/>
    </row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</sheetData>
  <mergeCells count="7">
    <mergeCell ref="A1:B3"/>
    <mergeCell ref="C1:O3"/>
    <mergeCell ref="G5:G9"/>
    <mergeCell ref="B6:C6"/>
    <mergeCell ref="B7:C7"/>
    <mergeCell ref="G12:G15"/>
    <mergeCell ref="B20:E20"/>
  </mergeCells>
  <dataValidations>
    <dataValidation type="list" allowBlank="1" sqref="C16">
      <formula1>"Nómina,Prestación de Servicios"</formula1>
    </dataValidation>
    <dataValidation type="list" allowBlank="1" sqref="C37 L37">
      <formula1>"Gross Margin,Net Margin"</formula1>
    </dataValidation>
    <dataValidation type="list" allowBlank="1" showErrorMessage="1" sqref="D22:D34">
      <formula1>"Nómina,P. Servicios"</formula1>
    </dataValidation>
    <dataValidation type="list" allowBlank="1" sqref="B22:B34">
      <formula1>'Parámetros'!$A$2:$A$120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6.43"/>
    <col customWidth="1" min="2" max="2" width="15.71"/>
    <col customWidth="1" min="5" max="5" width="13.29"/>
    <col customWidth="1" min="6" max="6" width="14.14"/>
    <col customWidth="1" min="10" max="10" width="16.86"/>
    <col customWidth="1" min="11" max="11" width="19.29"/>
    <col customWidth="1" min="13" max="13" width="18.29"/>
    <col customWidth="1" min="14" max="14" width="6.14"/>
    <col customWidth="1" min="15" max="15" width="19.29"/>
  </cols>
  <sheetData>
    <row r="1">
      <c r="A1" s="95" t="s">
        <v>47</v>
      </c>
      <c r="B1" s="96" t="s">
        <v>53</v>
      </c>
      <c r="C1" s="96" t="s">
        <v>54</v>
      </c>
      <c r="S1" s="97"/>
      <c r="T1" s="97"/>
    </row>
    <row r="2">
      <c r="A2" s="95" t="s">
        <v>55</v>
      </c>
      <c r="B2" s="96">
        <v>5000000.0</v>
      </c>
      <c r="C2" s="98">
        <f t="shared" ref="C2:C12" si="1">B2*1.38</f>
        <v>6900000</v>
      </c>
      <c r="K2" s="99" t="s">
        <v>56</v>
      </c>
      <c r="L2" s="100"/>
      <c r="S2" s="97"/>
      <c r="T2" s="97"/>
    </row>
    <row r="3">
      <c r="A3" s="95" t="s">
        <v>57</v>
      </c>
      <c r="B3" s="96">
        <v>8000000.0</v>
      </c>
      <c r="C3" s="98">
        <f t="shared" si="1"/>
        <v>11040000</v>
      </c>
      <c r="G3" s="16"/>
      <c r="H3" s="16"/>
      <c r="K3" s="101" t="s">
        <v>58</v>
      </c>
      <c r="L3" s="102">
        <v>3550.0</v>
      </c>
      <c r="O3" s="103" t="str">
        <f>IFERROR(__xludf.DUMMYFUNCTION("GOOGLEFINANCE(""currency:USDCOP"",""price"",(TODAY()-20)-20,60)"),"Date")</f>
        <v>Date</v>
      </c>
      <c r="P3" s="104" t="str">
        <f>IFERROR(__xludf.DUMMYFUNCTION("""COMPUTED_VALUE"""),"Close")</f>
        <v>Close</v>
      </c>
      <c r="S3" s="97"/>
      <c r="T3" s="97"/>
    </row>
    <row r="4">
      <c r="A4" s="95" t="s">
        <v>59</v>
      </c>
      <c r="B4" s="96">
        <v>7000000.0</v>
      </c>
      <c r="C4" s="98">
        <f t="shared" si="1"/>
        <v>9660000</v>
      </c>
      <c r="F4" s="105" t="s">
        <v>60</v>
      </c>
      <c r="G4" s="106" t="s">
        <v>61</v>
      </c>
      <c r="H4" s="105" t="s">
        <v>62</v>
      </c>
      <c r="K4" s="101" t="s">
        <v>63</v>
      </c>
      <c r="L4" s="107">
        <v>1.0</v>
      </c>
      <c r="O4" s="108">
        <f>IFERROR(__xludf.DUMMYFUNCTION("""COMPUTED_VALUE"""),46061.99861111111)</f>
        <v>46061.99861</v>
      </c>
      <c r="P4" s="109">
        <f>IFERROR(__xludf.DUMMYFUNCTION("""COMPUTED_VALUE"""),3657.237)</f>
        <v>3657.237</v>
      </c>
      <c r="S4" s="97"/>
      <c r="T4" s="97"/>
    </row>
    <row r="5">
      <c r="A5" s="95" t="s">
        <v>64</v>
      </c>
      <c r="B5" s="96">
        <v>5000000.0</v>
      </c>
      <c r="C5" s="98">
        <f t="shared" si="1"/>
        <v>6900000</v>
      </c>
      <c r="E5" s="110" t="s">
        <v>65</v>
      </c>
      <c r="F5" s="111">
        <v>3.22239393E8</v>
      </c>
      <c r="G5" s="112">
        <v>2.19207359E8</v>
      </c>
      <c r="H5" s="111">
        <f>21584031+12296884</f>
        <v>33880915</v>
      </c>
      <c r="K5" s="101" t="s">
        <v>66</v>
      </c>
      <c r="L5" s="113">
        <f>6.9/1000</f>
        <v>0.0069</v>
      </c>
      <c r="O5" s="108">
        <f>IFERROR(__xludf.DUMMYFUNCTION("""COMPUTED_VALUE"""),46062.99861111111)</f>
        <v>46062.99861</v>
      </c>
      <c r="P5" s="109">
        <f>IFERROR(__xludf.DUMMYFUNCTION("""COMPUTED_VALUE"""),3668.26)</f>
        <v>3668.26</v>
      </c>
    </row>
    <row r="6">
      <c r="A6" s="95" t="s">
        <v>69</v>
      </c>
      <c r="B6" s="96">
        <v>1.0E7</v>
      </c>
      <c r="C6" s="98">
        <f t="shared" si="1"/>
        <v>13800000</v>
      </c>
      <c r="E6" s="114" t="s">
        <v>70</v>
      </c>
      <c r="F6" s="115">
        <v>3.4567412E8</v>
      </c>
      <c r="G6" s="116">
        <f>153922294-23803671</f>
        <v>130118623</v>
      </c>
      <c r="H6" s="115">
        <f>18000124+17676944</f>
        <v>35677068</v>
      </c>
      <c r="K6" s="101" t="s">
        <v>71</v>
      </c>
      <c r="L6" s="117">
        <v>0.0</v>
      </c>
      <c r="O6" s="108">
        <f>IFERROR(__xludf.DUMMYFUNCTION("""COMPUTED_VALUE"""),46063.99861111111)</f>
        <v>46063.99861</v>
      </c>
      <c r="P6" s="109">
        <f>IFERROR(__xludf.DUMMYFUNCTION("""COMPUTED_VALUE"""),3663.72)</f>
        <v>3663.72</v>
      </c>
      <c r="V6" s="120" t="s">
        <v>73</v>
      </c>
      <c r="W6" s="121">
        <v>4055.2343076923084</v>
      </c>
      <c r="X6" s="122"/>
    </row>
    <row r="7">
      <c r="A7" s="95" t="s">
        <v>74</v>
      </c>
      <c r="B7" s="96">
        <v>3000000.0</v>
      </c>
      <c r="C7" s="98">
        <f t="shared" si="1"/>
        <v>4140000</v>
      </c>
      <c r="E7" s="110" t="s">
        <v>75</v>
      </c>
      <c r="F7" s="123">
        <v>3.39294343E8</v>
      </c>
      <c r="G7" s="112">
        <f>163844091-30578849</f>
        <v>133265242</v>
      </c>
      <c r="H7" s="111">
        <f>17853308+7452783</f>
        <v>25306091</v>
      </c>
      <c r="K7" s="101" t="s">
        <v>76</v>
      </c>
      <c r="L7" s="113">
        <v>0.1</v>
      </c>
      <c r="O7" s="108">
        <f>IFERROR(__xludf.DUMMYFUNCTION("""COMPUTED_VALUE"""),46064.99861111111)</f>
        <v>46064.99861</v>
      </c>
      <c r="P7" s="109">
        <f>IFERROR(__xludf.DUMMYFUNCTION("""COMPUTED_VALUE"""),3669.53)</f>
        <v>3669.53</v>
      </c>
      <c r="V7" s="120" t="s">
        <v>78</v>
      </c>
      <c r="W7" s="121">
        <v>4377.322055555555</v>
      </c>
      <c r="X7" s="122"/>
    </row>
    <row r="8">
      <c r="A8" s="95" t="s">
        <v>79</v>
      </c>
      <c r="B8" s="96">
        <v>5000000.0</v>
      </c>
      <c r="C8" s="98">
        <f t="shared" si="1"/>
        <v>6900000</v>
      </c>
      <c r="E8" s="114" t="s">
        <v>80</v>
      </c>
      <c r="F8" s="115">
        <v>3.33648543E8</v>
      </c>
      <c r="G8" s="116">
        <f>154935476-9678137</f>
        <v>145257339</v>
      </c>
      <c r="H8" s="115">
        <f>7027325+20727068</f>
        <v>27754393</v>
      </c>
      <c r="I8" s="67"/>
      <c r="K8" s="101" t="s">
        <v>81</v>
      </c>
      <c r="L8" s="117">
        <v>0.029</v>
      </c>
      <c r="O8" s="108">
        <f>IFERROR(__xludf.DUMMYFUNCTION("""COMPUTED_VALUE"""),46065.99861111111)</f>
        <v>46065.99861</v>
      </c>
      <c r="P8" s="109">
        <f>IFERROR(__xludf.DUMMYFUNCTION("""COMPUTED_VALUE"""),3668.0)</f>
        <v>3668</v>
      </c>
      <c r="V8" s="120"/>
      <c r="W8" s="120" t="e">
        <v>#DIV/0!</v>
      </c>
      <c r="X8" s="122"/>
    </row>
    <row r="9">
      <c r="A9" s="95" t="s">
        <v>82</v>
      </c>
      <c r="B9" s="96">
        <v>7000000.0</v>
      </c>
      <c r="C9" s="98">
        <f t="shared" si="1"/>
        <v>9660000</v>
      </c>
      <c r="E9" s="110" t="s">
        <v>83</v>
      </c>
      <c r="F9" s="124">
        <v>3.24919373E8</v>
      </c>
      <c r="G9" s="112">
        <f>179893216-43368730</f>
        <v>136524486</v>
      </c>
      <c r="H9" s="123">
        <f>16643013-1443598+7452783</f>
        <v>22652198</v>
      </c>
      <c r="I9" s="125"/>
      <c r="K9" s="126" t="s">
        <v>84</v>
      </c>
      <c r="L9" s="127">
        <v>0.3</v>
      </c>
      <c r="O9" s="108">
        <f>IFERROR(__xludf.DUMMYFUNCTION("""COMPUTED_VALUE"""),46066.99861111111)</f>
        <v>46066.99861</v>
      </c>
      <c r="P9" s="109">
        <f>IFERROR(__xludf.DUMMYFUNCTION("""COMPUTED_VALUE"""),3664.65)</f>
        <v>3664.65</v>
      </c>
      <c r="V9" s="120" t="s">
        <v>85</v>
      </c>
      <c r="W9" s="120">
        <v>4242.253000000001</v>
      </c>
      <c r="X9" s="122"/>
    </row>
    <row r="10">
      <c r="A10" s="95" t="s">
        <v>86</v>
      </c>
      <c r="B10" s="96">
        <v>9000000.0</v>
      </c>
      <c r="C10" s="98">
        <f t="shared" si="1"/>
        <v>12420000</v>
      </c>
      <c r="E10" s="114" t="s">
        <v>87</v>
      </c>
      <c r="F10" s="115">
        <v>3.54200345E8</v>
      </c>
      <c r="G10" s="116">
        <f>175297648-34194521</f>
        <v>141103127</v>
      </c>
      <c r="H10" s="115">
        <f>23598164-1138139+7452783</f>
        <v>29912808</v>
      </c>
      <c r="I10" s="125"/>
      <c r="O10" s="108">
        <f>IFERROR(__xludf.DUMMYFUNCTION("""COMPUTED_VALUE"""),46067.99861111111)</f>
        <v>46067.99861</v>
      </c>
      <c r="P10" s="109">
        <f>IFERROR(__xludf.DUMMYFUNCTION("""COMPUTED_VALUE"""),3618.33)</f>
        <v>3618.33</v>
      </c>
      <c r="S10" s="97"/>
      <c r="T10" s="119"/>
      <c r="V10" s="122"/>
      <c r="W10" s="122"/>
      <c r="X10" s="122"/>
    </row>
    <row r="11">
      <c r="A11" s="95" t="s">
        <v>88</v>
      </c>
      <c r="B11" s="96">
        <v>1.2E7</v>
      </c>
      <c r="C11" s="98">
        <f t="shared" si="1"/>
        <v>16560000</v>
      </c>
      <c r="E11" s="110"/>
      <c r="F11" s="123"/>
      <c r="G11" s="128"/>
      <c r="H11" s="129"/>
      <c r="I11" s="130"/>
      <c r="O11" s="108">
        <f>IFERROR(__xludf.DUMMYFUNCTION("""COMPUTED_VALUE"""),46069.99861111111)</f>
        <v>46069.99861</v>
      </c>
      <c r="P11" s="109">
        <f>IFERROR(__xludf.DUMMYFUNCTION("""COMPUTED_VALUE"""),3656.07)</f>
        <v>3656.07</v>
      </c>
      <c r="S11" s="97"/>
      <c r="T11" s="119"/>
    </row>
    <row r="12">
      <c r="A12" s="95" t="s">
        <v>89</v>
      </c>
      <c r="B12" s="96">
        <v>9000000.0</v>
      </c>
      <c r="C12" s="98">
        <f t="shared" si="1"/>
        <v>12420000</v>
      </c>
      <c r="E12" s="131"/>
      <c r="F12" s="132"/>
      <c r="G12" s="133"/>
      <c r="H12" s="134"/>
      <c r="I12" s="73"/>
      <c r="O12" s="108">
        <f>IFERROR(__xludf.DUMMYFUNCTION("""COMPUTED_VALUE"""),46070.99861111111)</f>
        <v>46070.99861</v>
      </c>
      <c r="P12" s="109">
        <f>IFERROR(__xludf.DUMMYFUNCTION("""COMPUTED_VALUE"""),3663.75)</f>
        <v>3663.75</v>
      </c>
      <c r="S12" s="97"/>
      <c r="T12" s="119"/>
    </row>
    <row r="13">
      <c r="A13" s="95"/>
      <c r="B13" s="96"/>
      <c r="C13" s="98"/>
      <c r="E13" s="110"/>
      <c r="F13" s="135"/>
      <c r="G13" s="136"/>
      <c r="H13" s="135"/>
      <c r="I13" s="137"/>
      <c r="O13" s="108">
        <f>IFERROR(__xludf.DUMMYFUNCTION("""COMPUTED_VALUE"""),46071.99861111111)</f>
        <v>46071.99861</v>
      </c>
      <c r="P13" s="109">
        <f>IFERROR(__xludf.DUMMYFUNCTION("""COMPUTED_VALUE"""),3678.28)</f>
        <v>3678.28</v>
      </c>
      <c r="S13" s="97"/>
      <c r="T13" s="97"/>
    </row>
    <row r="14">
      <c r="A14" s="95"/>
      <c r="B14" s="96"/>
      <c r="C14" s="98"/>
      <c r="E14" s="131"/>
      <c r="F14" s="138"/>
      <c r="G14" s="139"/>
      <c r="H14" s="140"/>
      <c r="I14" s="73"/>
      <c r="O14" s="108">
        <f>IFERROR(__xludf.DUMMYFUNCTION("""COMPUTED_VALUE"""),46072.99861111111)</f>
        <v>46072.99861</v>
      </c>
      <c r="P14" s="109">
        <f>IFERROR(__xludf.DUMMYFUNCTION("""COMPUTED_VALUE"""),3698.79)</f>
        <v>3698.79</v>
      </c>
      <c r="S14" s="97"/>
      <c r="T14" s="97"/>
    </row>
    <row r="15">
      <c r="A15" s="95"/>
      <c r="B15" s="96"/>
      <c r="C15" s="98"/>
      <c r="E15" s="110"/>
      <c r="F15" s="141"/>
      <c r="G15" s="136"/>
      <c r="H15" s="135"/>
      <c r="I15" s="137"/>
      <c r="O15" s="108">
        <f>IFERROR(__xludf.DUMMYFUNCTION("""COMPUTED_VALUE"""),46073.99861111111)</f>
        <v>46073.99861</v>
      </c>
      <c r="P15" s="109">
        <f>IFERROR(__xludf.DUMMYFUNCTION("""COMPUTED_VALUE"""),3706.17)</f>
        <v>3706.17</v>
      </c>
      <c r="S15" s="97"/>
      <c r="T15" s="97"/>
    </row>
    <row r="16">
      <c r="A16" s="95"/>
      <c r="B16" s="96"/>
      <c r="C16" s="98"/>
      <c r="E16" s="131"/>
      <c r="F16" s="138"/>
      <c r="G16" s="139"/>
      <c r="H16" s="140"/>
      <c r="I16" s="73"/>
      <c r="O16" s="108">
        <f>IFERROR(__xludf.DUMMYFUNCTION("""COMPUTED_VALUE"""),46074.99861111111)</f>
        <v>46074.99861</v>
      </c>
      <c r="P16" s="109">
        <f>IFERROR(__xludf.DUMMYFUNCTION("""COMPUTED_VALUE"""),3647.348)</f>
        <v>3647.348</v>
      </c>
      <c r="S16" s="97"/>
      <c r="T16" s="97"/>
    </row>
    <row r="17">
      <c r="A17" s="95"/>
      <c r="B17" s="96"/>
      <c r="C17" s="98"/>
      <c r="E17" s="33"/>
      <c r="I17" s="137"/>
      <c r="O17" s="108">
        <f>IFERROR(__xludf.DUMMYFUNCTION("""COMPUTED_VALUE"""),46075.99861111111)</f>
        <v>46075.99861</v>
      </c>
      <c r="P17" s="109">
        <f>IFERROR(__xludf.DUMMYFUNCTION("""COMPUTED_VALUE"""),3647.348)</f>
        <v>3647.348</v>
      </c>
      <c r="S17" s="97"/>
      <c r="T17" s="97"/>
    </row>
    <row r="18">
      <c r="A18" s="95"/>
      <c r="B18" s="96"/>
      <c r="C18" s="98"/>
      <c r="E18" s="33"/>
      <c r="I18" s="73"/>
      <c r="O18" s="108">
        <f>IFERROR(__xludf.DUMMYFUNCTION("""COMPUTED_VALUE"""),46076.99861111111)</f>
        <v>46076.99861</v>
      </c>
      <c r="P18" s="109">
        <f>IFERROR(__xludf.DUMMYFUNCTION("""COMPUTED_VALUE"""),3691.94)</f>
        <v>3691.94</v>
      </c>
      <c r="S18" s="97"/>
      <c r="T18" s="97"/>
    </row>
    <row r="19">
      <c r="A19" s="95"/>
      <c r="B19" s="96"/>
      <c r="C19" s="98"/>
      <c r="I19" s="137"/>
      <c r="O19" s="108">
        <f>IFERROR(__xludf.DUMMYFUNCTION("""COMPUTED_VALUE"""),46077.99861111111)</f>
        <v>46077.99861</v>
      </c>
      <c r="P19" s="109">
        <f>IFERROR(__xludf.DUMMYFUNCTION("""COMPUTED_VALUE"""),3710.11)</f>
        <v>3710.11</v>
      </c>
      <c r="S19" s="97"/>
      <c r="T19" s="97"/>
    </row>
    <row r="20">
      <c r="A20" s="95"/>
      <c r="B20" s="96"/>
      <c r="C20" s="98"/>
      <c r="I20" s="73"/>
      <c r="O20" s="108">
        <f>IFERROR(__xludf.DUMMYFUNCTION("""COMPUTED_VALUE"""),46078.99861111111)</f>
        <v>46078.99861</v>
      </c>
      <c r="P20" s="109">
        <f>IFERROR(__xludf.DUMMYFUNCTION("""COMPUTED_VALUE"""),3697.69)</f>
        <v>3697.69</v>
      </c>
      <c r="S20" s="97"/>
      <c r="T20" s="97"/>
    </row>
    <row r="21">
      <c r="A21" s="95"/>
      <c r="B21" s="96"/>
      <c r="C21" s="98"/>
      <c r="O21" s="108">
        <f>IFERROR(__xludf.DUMMYFUNCTION("""COMPUTED_VALUE"""),46079.99861111111)</f>
        <v>46079.99861</v>
      </c>
      <c r="P21" s="109">
        <f>IFERROR(__xludf.DUMMYFUNCTION("""COMPUTED_VALUE"""),3764.29)</f>
        <v>3764.29</v>
      </c>
      <c r="S21" s="97"/>
      <c r="T21" s="97"/>
    </row>
    <row r="22">
      <c r="A22" s="95"/>
      <c r="B22" s="96"/>
      <c r="C22" s="98"/>
      <c r="O22" s="108">
        <f>IFERROR(__xludf.DUMMYFUNCTION("""COMPUTED_VALUE"""),46080.99861111111)</f>
        <v>46080.99861</v>
      </c>
      <c r="P22" s="109">
        <f>IFERROR(__xludf.DUMMYFUNCTION("""COMPUTED_VALUE"""),3759.93)</f>
        <v>3759.93</v>
      </c>
      <c r="S22" s="97"/>
      <c r="T22" s="97"/>
    </row>
    <row r="23">
      <c r="A23" s="95"/>
      <c r="B23" s="96"/>
      <c r="C23" s="98"/>
      <c r="E23" s="142"/>
      <c r="F23" s="15"/>
      <c r="O23" s="108">
        <f>IFERROR(__xludf.DUMMYFUNCTION("""COMPUTED_VALUE"""),46081.99861111111)</f>
        <v>46081.99861</v>
      </c>
      <c r="P23" s="109">
        <f>IFERROR(__xludf.DUMMYFUNCTION("""COMPUTED_VALUE"""),3716.57)</f>
        <v>3716.57</v>
      </c>
      <c r="S23" s="97"/>
      <c r="T23" s="97"/>
    </row>
    <row r="24">
      <c r="A24" s="95"/>
      <c r="B24" s="96"/>
      <c r="C24" s="98"/>
      <c r="I24" s="143"/>
      <c r="O24" s="108">
        <f>IFERROR(__xludf.DUMMYFUNCTION("""COMPUTED_VALUE"""),46082.99861111111)</f>
        <v>46082.99861</v>
      </c>
      <c r="P24" s="109">
        <f>IFERROR(__xludf.DUMMYFUNCTION("""COMPUTED_VALUE"""),3716.57)</f>
        <v>3716.57</v>
      </c>
      <c r="S24" s="97"/>
      <c r="T24" s="97"/>
    </row>
    <row r="25">
      <c r="A25" s="95"/>
      <c r="B25" s="96"/>
      <c r="C25" s="98"/>
      <c r="I25" s="144"/>
      <c r="O25" s="108">
        <f>IFERROR(__xludf.DUMMYFUNCTION("""COMPUTED_VALUE"""),46083.99861111111)</f>
        <v>46083.99861</v>
      </c>
      <c r="P25" s="109">
        <f>IFERROR(__xludf.DUMMYFUNCTION("""COMPUTED_VALUE"""),3770.8)</f>
        <v>3770.8</v>
      </c>
      <c r="S25" s="97"/>
      <c r="T25" s="97"/>
    </row>
    <row r="26">
      <c r="A26" s="95"/>
      <c r="B26" s="96"/>
      <c r="C26" s="98"/>
      <c r="I26" s="144"/>
      <c r="O26" s="108">
        <f>IFERROR(__xludf.DUMMYFUNCTION("""COMPUTED_VALUE"""),46084.99861111111)</f>
        <v>46084.99861</v>
      </c>
      <c r="P26" s="109">
        <f>IFERROR(__xludf.DUMMYFUNCTION("""COMPUTED_VALUE"""),3801.26)</f>
        <v>3801.26</v>
      </c>
      <c r="S26" s="97"/>
      <c r="T26" s="97"/>
    </row>
    <row r="27">
      <c r="B27" s="145"/>
      <c r="C27" s="145"/>
      <c r="O27" s="108">
        <f>IFERROR(__xludf.DUMMYFUNCTION("""COMPUTED_VALUE"""),46085.99861111111)</f>
        <v>46085.99861</v>
      </c>
      <c r="P27" s="109">
        <f>IFERROR(__xludf.DUMMYFUNCTION("""COMPUTED_VALUE"""),3759.11)</f>
        <v>3759.11</v>
      </c>
      <c r="S27" s="97"/>
      <c r="T27" s="97"/>
    </row>
    <row r="28">
      <c r="B28" s="145"/>
      <c r="C28" s="145"/>
      <c r="O28" s="108">
        <f>IFERROR(__xludf.DUMMYFUNCTION("""COMPUTED_VALUE"""),46086.99861111111)</f>
        <v>46086.99861</v>
      </c>
      <c r="P28" s="109">
        <f>IFERROR(__xludf.DUMMYFUNCTION("""COMPUTED_VALUE"""),3788.48)</f>
        <v>3788.48</v>
      </c>
      <c r="S28" s="97"/>
      <c r="T28" s="97"/>
    </row>
    <row r="29">
      <c r="A29" s="95"/>
      <c r="B29" s="96"/>
      <c r="C29" s="98"/>
      <c r="O29" s="108">
        <f>IFERROR(__xludf.DUMMYFUNCTION("""COMPUTED_VALUE"""),46087.99861111111)</f>
        <v>46087.99861</v>
      </c>
      <c r="P29" s="109">
        <f>IFERROR(__xludf.DUMMYFUNCTION("""COMPUTED_VALUE"""),3782.66)</f>
        <v>3782.66</v>
      </c>
      <c r="S29" s="97"/>
      <c r="T29" s="97"/>
    </row>
    <row r="30">
      <c r="A30" s="95"/>
      <c r="B30" s="96"/>
      <c r="C30" s="98"/>
      <c r="O30" s="108">
        <f>IFERROR(__xludf.DUMMYFUNCTION("""COMPUTED_VALUE"""),46088.99861111111)</f>
        <v>46088.99861</v>
      </c>
      <c r="P30" s="109">
        <f>IFERROR(__xludf.DUMMYFUNCTION("""COMPUTED_VALUE"""),3711.902)</f>
        <v>3711.902</v>
      </c>
      <c r="S30" s="97"/>
      <c r="T30" s="97"/>
    </row>
    <row r="31">
      <c r="A31" s="95"/>
      <c r="B31" s="96"/>
      <c r="C31" s="98"/>
      <c r="O31" s="108">
        <f>IFERROR(__xludf.DUMMYFUNCTION("""COMPUTED_VALUE"""),46090.99861111111)</f>
        <v>46090.99861</v>
      </c>
      <c r="P31" s="109">
        <f>IFERROR(__xludf.DUMMYFUNCTION("""COMPUTED_VALUE"""),3761.83)</f>
        <v>3761.83</v>
      </c>
      <c r="S31" s="97"/>
      <c r="T31" s="97"/>
    </row>
    <row r="32">
      <c r="A32" s="95"/>
      <c r="B32" s="96"/>
      <c r="C32" s="98"/>
      <c r="O32" s="108">
        <f>IFERROR(__xludf.DUMMYFUNCTION("""COMPUTED_VALUE"""),46091.99861111111)</f>
        <v>46091.99861</v>
      </c>
      <c r="P32" s="109">
        <f>IFERROR(__xludf.DUMMYFUNCTION("""COMPUTED_VALUE"""),3709.07)</f>
        <v>3709.07</v>
      </c>
      <c r="S32" s="97"/>
      <c r="T32" s="97"/>
    </row>
    <row r="33">
      <c r="A33" s="95"/>
      <c r="B33" s="96"/>
      <c r="C33" s="98"/>
      <c r="O33" s="108">
        <f>IFERROR(__xludf.DUMMYFUNCTION("""COMPUTED_VALUE"""),46092.99861111111)</f>
        <v>46092.99861</v>
      </c>
      <c r="P33" s="109">
        <f>IFERROR(__xludf.DUMMYFUNCTION("""COMPUTED_VALUE"""),3703.43)</f>
        <v>3703.43</v>
      </c>
      <c r="S33" s="97"/>
      <c r="T33" s="97"/>
    </row>
    <row r="34">
      <c r="A34" s="95"/>
      <c r="B34" s="96"/>
      <c r="C34" s="98"/>
      <c r="O34" s="108">
        <f>IFERROR(__xludf.DUMMYFUNCTION("""COMPUTED_VALUE"""),46093.99861111111)</f>
        <v>46093.99861</v>
      </c>
      <c r="P34" s="109">
        <f>IFERROR(__xludf.DUMMYFUNCTION("""COMPUTED_VALUE"""),3692.56)</f>
        <v>3692.56</v>
      </c>
      <c r="S34" s="97"/>
      <c r="T34" s="97"/>
    </row>
    <row r="35">
      <c r="A35" s="95"/>
      <c r="B35" s="96"/>
      <c r="C35" s="98"/>
      <c r="O35" s="108">
        <f>IFERROR(__xludf.DUMMYFUNCTION("""COMPUTED_VALUE"""),46094.99861111111)</f>
        <v>46094.99861</v>
      </c>
      <c r="P35" s="109">
        <f>IFERROR(__xludf.DUMMYFUNCTION("""COMPUTED_VALUE"""),3704.68)</f>
        <v>3704.68</v>
      </c>
      <c r="S35" s="97"/>
      <c r="T35" s="97"/>
    </row>
    <row r="36">
      <c r="A36" s="95"/>
      <c r="B36" s="96"/>
      <c r="C36" s="98"/>
      <c r="O36" s="108">
        <f>IFERROR(__xludf.DUMMYFUNCTION("""COMPUTED_VALUE"""),46095.99861111111)</f>
        <v>46095.99861</v>
      </c>
      <c r="P36" s="109">
        <f>IFERROR(__xludf.DUMMYFUNCTION("""COMPUTED_VALUE"""),3638.607)</f>
        <v>3638.607</v>
      </c>
      <c r="S36" s="97"/>
      <c r="T36" s="97"/>
    </row>
    <row r="37">
      <c r="A37" s="95"/>
      <c r="B37" s="96"/>
      <c r="C37" s="98"/>
      <c r="O37" s="108">
        <f>IFERROR(__xludf.DUMMYFUNCTION("""COMPUTED_VALUE"""),46097.99861111111)</f>
        <v>46097.99861</v>
      </c>
      <c r="P37" s="109">
        <f>IFERROR(__xludf.DUMMYFUNCTION("""COMPUTED_VALUE"""),3702.24)</f>
        <v>3702.24</v>
      </c>
      <c r="S37" s="97"/>
      <c r="T37" s="97"/>
    </row>
    <row r="38">
      <c r="A38" s="95"/>
      <c r="B38" s="96"/>
      <c r="C38" s="98"/>
      <c r="D38" s="146"/>
      <c r="O38" s="108">
        <f>IFERROR(__xludf.DUMMYFUNCTION("""COMPUTED_VALUE"""),46098.99861111111)</f>
        <v>46098.99861</v>
      </c>
      <c r="P38" s="109">
        <f>IFERROR(__xludf.DUMMYFUNCTION("""COMPUTED_VALUE"""),3689.13572)</f>
        <v>3689.13572</v>
      </c>
      <c r="S38" s="97"/>
      <c r="T38" s="97"/>
    </row>
    <row r="39">
      <c r="A39" s="95"/>
      <c r="B39" s="96"/>
      <c r="C39" s="98"/>
      <c r="D39" s="146"/>
      <c r="O39" s="108">
        <f>IFERROR(__xludf.DUMMYFUNCTION("""COMPUTED_VALUE"""),46099.99861111111)</f>
        <v>46099.99861</v>
      </c>
      <c r="P39" s="109">
        <f>IFERROR(__xludf.DUMMYFUNCTION("""COMPUTED_VALUE"""),3706.06)</f>
        <v>3706.06</v>
      </c>
      <c r="S39" s="97"/>
      <c r="T39" s="97"/>
    </row>
    <row r="40">
      <c r="A40" s="95"/>
      <c r="B40" s="96"/>
      <c r="C40" s="98"/>
      <c r="D40" s="146"/>
      <c r="O40" s="108">
        <f>IFERROR(__xludf.DUMMYFUNCTION("""COMPUTED_VALUE"""),46100.99861111111)</f>
        <v>46100.99861</v>
      </c>
      <c r="P40" s="109">
        <f>IFERROR(__xludf.DUMMYFUNCTION("""COMPUTED_VALUE"""),3704.24)</f>
        <v>3704.24</v>
      </c>
      <c r="S40" s="97"/>
      <c r="T40" s="97"/>
    </row>
    <row r="41">
      <c r="A41" s="95"/>
      <c r="B41" s="96"/>
      <c r="C41" s="98"/>
      <c r="D41" s="146"/>
      <c r="O41" s="104"/>
      <c r="P41" s="109"/>
      <c r="S41" s="97"/>
      <c r="T41" s="97"/>
    </row>
    <row r="42">
      <c r="A42" s="95"/>
      <c r="B42" s="96"/>
      <c r="C42" s="98"/>
      <c r="D42" s="146"/>
      <c r="O42" s="104"/>
      <c r="P42" s="109"/>
      <c r="S42" s="97"/>
      <c r="T42" s="97"/>
    </row>
    <row r="43">
      <c r="A43" s="95"/>
      <c r="B43" s="96"/>
      <c r="C43" s="98"/>
      <c r="D43" s="146"/>
      <c r="O43" s="104"/>
      <c r="P43" s="109"/>
      <c r="S43" s="97"/>
      <c r="T43" s="97"/>
    </row>
    <row r="44">
      <c r="A44" s="95"/>
      <c r="B44" s="96"/>
      <c r="C44" s="98"/>
      <c r="D44" s="146"/>
      <c r="I44" s="25"/>
      <c r="O44" s="104"/>
      <c r="P44" s="109"/>
      <c r="S44" s="97"/>
      <c r="T44" s="97"/>
    </row>
    <row r="45">
      <c r="A45" s="95"/>
      <c r="B45" s="96"/>
      <c r="C45" s="98"/>
      <c r="D45" s="146"/>
      <c r="I45" s="25"/>
      <c r="O45" s="104"/>
      <c r="P45" s="109"/>
      <c r="S45" s="97"/>
      <c r="T45" s="97"/>
    </row>
    <row r="46">
      <c r="A46" s="95"/>
      <c r="B46" s="96"/>
      <c r="C46" s="98"/>
      <c r="D46" s="146"/>
      <c r="O46" s="104"/>
      <c r="P46" s="109"/>
      <c r="S46" s="97"/>
      <c r="T46" s="97"/>
    </row>
    <row r="47">
      <c r="A47" s="95"/>
      <c r="B47" s="96"/>
      <c r="C47" s="98"/>
      <c r="O47" s="104"/>
      <c r="P47" s="109"/>
      <c r="S47" s="97"/>
      <c r="T47" s="97"/>
    </row>
    <row r="48">
      <c r="A48" s="95"/>
      <c r="B48" s="96"/>
      <c r="C48" s="98"/>
      <c r="G48" s="146"/>
      <c r="O48" s="104"/>
      <c r="P48" s="109"/>
      <c r="S48" s="97"/>
      <c r="T48" s="97"/>
    </row>
    <row r="49">
      <c r="A49" s="95"/>
      <c r="B49" s="96"/>
      <c r="C49" s="98"/>
      <c r="G49" s="147"/>
      <c r="O49" s="104"/>
      <c r="P49" s="109"/>
      <c r="S49" s="97"/>
      <c r="T49" s="97"/>
    </row>
    <row r="50">
      <c r="A50" s="95"/>
      <c r="B50" s="96"/>
      <c r="C50" s="98"/>
      <c r="F50" s="146"/>
      <c r="G50" s="148"/>
      <c r="O50" s="104"/>
      <c r="P50" s="109"/>
      <c r="S50" s="97"/>
      <c r="T50" s="97"/>
    </row>
    <row r="51">
      <c r="A51" s="95"/>
      <c r="B51" s="96"/>
      <c r="C51" s="98"/>
      <c r="F51" s="146"/>
      <c r="G51" s="148"/>
      <c r="O51" s="104"/>
      <c r="P51" s="109"/>
      <c r="S51" s="97"/>
      <c r="T51" s="97"/>
    </row>
    <row r="52">
      <c r="A52" s="95"/>
      <c r="B52" s="96"/>
      <c r="C52" s="98"/>
      <c r="F52" s="146"/>
      <c r="G52" s="148"/>
      <c r="O52" s="104"/>
      <c r="P52" s="109"/>
      <c r="S52" s="97"/>
      <c r="T52" s="97"/>
    </row>
    <row r="53">
      <c r="A53" s="95"/>
      <c r="B53" s="96"/>
      <c r="C53" s="98"/>
      <c r="F53" s="146"/>
      <c r="G53" s="148"/>
      <c r="O53" s="104"/>
      <c r="P53" s="109"/>
      <c r="S53" s="97"/>
      <c r="T53" s="97"/>
    </row>
    <row r="54">
      <c r="A54" s="95"/>
      <c r="B54" s="96"/>
      <c r="C54" s="98"/>
      <c r="F54" s="146"/>
      <c r="G54" s="148"/>
      <c r="O54" s="104"/>
      <c r="P54" s="109"/>
      <c r="S54" s="97"/>
      <c r="T54" s="97"/>
    </row>
    <row r="55">
      <c r="A55" s="95"/>
      <c r="B55" s="96"/>
      <c r="C55" s="98"/>
      <c r="F55" s="146"/>
      <c r="G55" s="148"/>
      <c r="O55" s="104"/>
      <c r="P55" s="109"/>
      <c r="S55" s="97"/>
      <c r="T55" s="97"/>
    </row>
    <row r="56">
      <c r="A56" s="95"/>
      <c r="B56" s="96"/>
      <c r="C56" s="98"/>
      <c r="F56" s="146"/>
      <c r="G56" s="148"/>
      <c r="S56" s="97"/>
      <c r="T56" s="97"/>
    </row>
    <row r="57">
      <c r="A57" s="95"/>
      <c r="B57" s="96"/>
      <c r="C57" s="98"/>
      <c r="F57" s="146"/>
      <c r="G57" s="148"/>
      <c r="S57" s="97"/>
      <c r="T57" s="97"/>
    </row>
    <row r="58">
      <c r="A58" s="95"/>
      <c r="B58" s="96"/>
      <c r="C58" s="98"/>
      <c r="F58" s="146"/>
      <c r="G58" s="148"/>
      <c r="S58" s="97"/>
      <c r="T58" s="97"/>
    </row>
    <row r="59">
      <c r="A59" s="95"/>
      <c r="B59" s="96"/>
      <c r="C59" s="98"/>
      <c r="G59" s="146"/>
      <c r="S59" s="97"/>
      <c r="T59" s="97"/>
    </row>
    <row r="60">
      <c r="A60" s="95"/>
      <c r="B60" s="96"/>
      <c r="C60" s="98"/>
      <c r="S60" s="97"/>
      <c r="T60" s="97"/>
    </row>
    <row r="61">
      <c r="A61" s="95"/>
      <c r="B61" s="96"/>
      <c r="C61" s="98"/>
      <c r="S61" s="97"/>
      <c r="T61" s="97"/>
    </row>
    <row r="62">
      <c r="A62" s="95"/>
      <c r="B62" s="96"/>
      <c r="C62" s="98"/>
      <c r="S62" s="97"/>
      <c r="T62" s="97"/>
    </row>
    <row r="63">
      <c r="A63" s="95"/>
      <c r="B63" s="96"/>
      <c r="C63" s="98"/>
      <c r="S63" s="97"/>
      <c r="T63" s="97"/>
    </row>
    <row r="64">
      <c r="A64" s="95"/>
      <c r="B64" s="96"/>
      <c r="C64" s="98"/>
      <c r="S64" s="97"/>
      <c r="T64" s="97"/>
    </row>
    <row r="65">
      <c r="A65" s="95"/>
      <c r="B65" s="96"/>
      <c r="C65" s="98"/>
      <c r="S65" s="97"/>
      <c r="T65" s="97"/>
    </row>
    <row r="66">
      <c r="A66" s="95"/>
      <c r="B66" s="96"/>
      <c r="C66" s="98"/>
      <c r="S66" s="97"/>
      <c r="T66" s="97"/>
    </row>
    <row r="67">
      <c r="A67" s="149"/>
      <c r="B67" s="150"/>
      <c r="C67" s="151"/>
      <c r="S67" s="97"/>
      <c r="T67" s="97"/>
    </row>
    <row r="68">
      <c r="A68" s="149"/>
      <c r="B68" s="150"/>
      <c r="C68" s="151"/>
      <c r="S68" s="97"/>
      <c r="T68" s="97"/>
    </row>
    <row r="69">
      <c r="A69" s="149"/>
      <c r="B69" s="150"/>
      <c r="C69" s="151"/>
      <c r="S69" s="97"/>
      <c r="T69" s="97"/>
    </row>
    <row r="70">
      <c r="A70" s="149"/>
      <c r="B70" s="150"/>
      <c r="C70" s="151"/>
      <c r="S70" s="97"/>
      <c r="T70" s="97"/>
    </row>
    <row r="71">
      <c r="A71" s="149"/>
      <c r="B71" s="150"/>
      <c r="C71" s="151"/>
      <c r="S71" s="97"/>
      <c r="T71" s="97"/>
    </row>
    <row r="72">
      <c r="A72" s="149"/>
      <c r="B72" s="150"/>
      <c r="C72" s="151"/>
      <c r="S72" s="97"/>
      <c r="T72" s="97"/>
    </row>
    <row r="73">
      <c r="A73" s="149"/>
      <c r="B73" s="150"/>
      <c r="C73" s="151"/>
      <c r="S73" s="97"/>
      <c r="T73" s="97"/>
    </row>
    <row r="74">
      <c r="A74" s="149"/>
      <c r="B74" s="150"/>
      <c r="C74" s="151"/>
      <c r="S74" s="97"/>
      <c r="T74" s="97"/>
    </row>
    <row r="75">
      <c r="A75" s="149"/>
      <c r="B75" s="150"/>
      <c r="C75" s="151"/>
      <c r="S75" s="97"/>
      <c r="T75" s="97"/>
    </row>
    <row r="76">
      <c r="A76" s="149"/>
      <c r="B76" s="150"/>
      <c r="C76" s="151"/>
      <c r="S76" s="97"/>
      <c r="T76" s="97"/>
    </row>
    <row r="77">
      <c r="A77" s="149"/>
      <c r="B77" s="150"/>
      <c r="C77" s="151"/>
      <c r="S77" s="97"/>
      <c r="T77" s="97"/>
    </row>
    <row r="78">
      <c r="A78" s="149"/>
      <c r="B78" s="150"/>
      <c r="C78" s="151"/>
      <c r="S78" s="97"/>
      <c r="T78" s="97"/>
    </row>
    <row r="79">
      <c r="A79" s="149"/>
      <c r="B79" s="150"/>
      <c r="C79" s="151"/>
      <c r="S79" s="97"/>
      <c r="T79" s="97"/>
    </row>
    <row r="80">
      <c r="A80" s="149"/>
      <c r="B80" s="150"/>
      <c r="C80" s="151"/>
      <c r="S80" s="97"/>
      <c r="T80" s="97"/>
    </row>
    <row r="81">
      <c r="A81" s="149"/>
      <c r="B81" s="150"/>
      <c r="C81" s="151"/>
      <c r="S81" s="97"/>
      <c r="T81" s="97"/>
    </row>
    <row r="82">
      <c r="A82" s="149"/>
      <c r="B82" s="150"/>
      <c r="C82" s="151"/>
      <c r="S82" s="97"/>
      <c r="T82" s="97"/>
    </row>
    <row r="83">
      <c r="A83" s="149"/>
      <c r="B83" s="150"/>
      <c r="C83" s="151"/>
      <c r="S83" s="97"/>
      <c r="T83" s="97"/>
    </row>
    <row r="84">
      <c r="A84" s="149"/>
      <c r="B84" s="150"/>
      <c r="C84" s="151"/>
      <c r="S84" s="97"/>
      <c r="T84" s="97"/>
    </row>
    <row r="85">
      <c r="A85" s="149"/>
      <c r="B85" s="150"/>
      <c r="C85" s="151"/>
      <c r="S85" s="97"/>
      <c r="T85" s="97"/>
    </row>
    <row r="86">
      <c r="A86" s="149"/>
      <c r="B86" s="150"/>
      <c r="C86" s="151"/>
      <c r="S86" s="97"/>
      <c r="T86" s="97"/>
    </row>
    <row r="87">
      <c r="A87" s="149"/>
      <c r="B87" s="150"/>
      <c r="C87" s="151"/>
      <c r="S87" s="97"/>
      <c r="T87" s="97"/>
    </row>
    <row r="88">
      <c r="A88" s="149"/>
      <c r="B88" s="150"/>
      <c r="C88" s="151"/>
      <c r="S88" s="97"/>
      <c r="T88" s="97"/>
    </row>
    <row r="89">
      <c r="A89" s="149"/>
      <c r="B89" s="150"/>
      <c r="C89" s="151"/>
      <c r="S89" s="97"/>
      <c r="T89" s="97"/>
    </row>
    <row r="90">
      <c r="A90" s="149"/>
      <c r="B90" s="150"/>
      <c r="C90" s="151"/>
      <c r="S90" s="97"/>
      <c r="T90" s="97"/>
    </row>
    <row r="91">
      <c r="A91" s="149"/>
      <c r="B91" s="150"/>
      <c r="C91" s="151"/>
      <c r="S91" s="97"/>
      <c r="T91" s="97"/>
    </row>
    <row r="92">
      <c r="A92" s="149"/>
      <c r="B92" s="150"/>
      <c r="C92" s="151"/>
      <c r="S92" s="97"/>
      <c r="T92" s="97"/>
    </row>
    <row r="93">
      <c r="A93" s="149"/>
      <c r="B93" s="150"/>
      <c r="C93" s="151"/>
      <c r="S93" s="97"/>
      <c r="T93" s="97"/>
    </row>
    <row r="94">
      <c r="A94" s="149"/>
      <c r="B94" s="150"/>
      <c r="C94" s="151"/>
      <c r="S94" s="97"/>
      <c r="T94" s="97"/>
    </row>
    <row r="95">
      <c r="A95" s="149"/>
      <c r="B95" s="150"/>
      <c r="C95" s="151"/>
      <c r="S95" s="97"/>
      <c r="T95" s="97"/>
    </row>
    <row r="96">
      <c r="A96" s="149"/>
      <c r="B96" s="150"/>
      <c r="C96" s="151"/>
      <c r="S96" s="97"/>
      <c r="T96" s="97"/>
    </row>
    <row r="97">
      <c r="A97" s="149"/>
      <c r="B97" s="150"/>
      <c r="C97" s="151"/>
      <c r="S97" s="97"/>
      <c r="T97" s="97"/>
    </row>
    <row r="98">
      <c r="A98" s="149"/>
      <c r="B98" s="150"/>
      <c r="C98" s="151"/>
      <c r="S98" s="97"/>
      <c r="T98" s="97"/>
    </row>
    <row r="99">
      <c r="A99" s="149"/>
      <c r="B99" s="150"/>
      <c r="C99" s="151"/>
      <c r="S99" s="97"/>
      <c r="T99" s="97"/>
    </row>
    <row r="100">
      <c r="A100" s="149"/>
      <c r="B100" s="150"/>
      <c r="C100" s="151"/>
      <c r="S100" s="97"/>
      <c r="T100" s="97"/>
    </row>
    <row r="101">
      <c r="A101" s="152"/>
      <c r="B101" s="153"/>
      <c r="C101" s="154"/>
      <c r="S101" s="97"/>
      <c r="T101" s="97"/>
    </row>
    <row r="102">
      <c r="A102" s="152"/>
      <c r="B102" s="153"/>
      <c r="C102" s="154"/>
      <c r="S102" s="97"/>
      <c r="T102" s="97"/>
    </row>
    <row r="103">
      <c r="A103" s="152"/>
      <c r="B103" s="153"/>
      <c r="C103" s="154"/>
      <c r="S103" s="97"/>
      <c r="T103" s="97"/>
    </row>
    <row r="104">
      <c r="A104" s="152"/>
      <c r="B104" s="153"/>
      <c r="C104" s="154"/>
      <c r="S104" s="97"/>
      <c r="T104" s="97"/>
    </row>
    <row r="105">
      <c r="A105" s="152"/>
      <c r="B105" s="153"/>
      <c r="C105" s="154"/>
      <c r="S105" s="97"/>
      <c r="T105" s="97"/>
    </row>
    <row r="106">
      <c r="A106" s="152"/>
      <c r="B106" s="153"/>
      <c r="C106" s="154"/>
      <c r="S106" s="97"/>
      <c r="T106" s="97"/>
    </row>
    <row r="107">
      <c r="A107" s="152"/>
      <c r="B107" s="153"/>
      <c r="C107" s="154"/>
      <c r="S107" s="97"/>
      <c r="T107" s="97"/>
    </row>
    <row r="108">
      <c r="A108" s="152"/>
      <c r="B108" s="153"/>
      <c r="C108" s="154"/>
      <c r="S108" s="97"/>
      <c r="T108" s="97"/>
    </row>
    <row r="109">
      <c r="A109" s="152"/>
      <c r="B109" s="153"/>
      <c r="C109" s="154"/>
      <c r="S109" s="97"/>
      <c r="T109" s="97"/>
    </row>
    <row r="110">
      <c r="A110" s="152"/>
      <c r="B110" s="153"/>
      <c r="C110" s="154"/>
      <c r="S110" s="97"/>
      <c r="T110" s="97"/>
    </row>
    <row r="111">
      <c r="A111" s="152"/>
      <c r="B111" s="153"/>
      <c r="C111" s="154"/>
      <c r="S111" s="97"/>
      <c r="T111" s="97"/>
    </row>
    <row r="112">
      <c r="A112" s="152"/>
      <c r="B112" s="153"/>
      <c r="C112" s="154"/>
      <c r="S112" s="97"/>
      <c r="T112" s="97"/>
    </row>
    <row r="113">
      <c r="A113" s="152"/>
      <c r="B113" s="153"/>
      <c r="C113" s="154"/>
      <c r="S113" s="97"/>
      <c r="T113" s="97"/>
    </row>
    <row r="114">
      <c r="S114" s="97"/>
      <c r="T114" s="97"/>
    </row>
    <row r="115">
      <c r="S115" s="97"/>
      <c r="T115" s="97"/>
    </row>
    <row r="116">
      <c r="S116" s="97"/>
      <c r="T116" s="97"/>
    </row>
    <row r="117">
      <c r="A117" s="155" t="s">
        <v>90</v>
      </c>
      <c r="B117" s="156" t="s">
        <v>91</v>
      </c>
      <c r="C117" s="157" t="s">
        <v>92</v>
      </c>
      <c r="D117" s="158"/>
      <c r="S117" s="97"/>
      <c r="T117" s="97"/>
    </row>
    <row r="118">
      <c r="A118" s="159" t="s">
        <v>93</v>
      </c>
      <c r="B118" s="160">
        <v>0.085</v>
      </c>
      <c r="C118" s="159">
        <v>0.3</v>
      </c>
      <c r="D118" s="161"/>
      <c r="S118" s="97"/>
      <c r="T118" s="97"/>
    </row>
    <row r="119">
      <c r="A119" s="159" t="s">
        <v>94</v>
      </c>
      <c r="B119" s="162">
        <v>0.1</v>
      </c>
      <c r="C119" s="159">
        <v>0.4</v>
      </c>
      <c r="D119" s="163"/>
      <c r="S119" s="97"/>
      <c r="T119" s="97"/>
    </row>
    <row r="120">
      <c r="A120" s="159" t="s">
        <v>95</v>
      </c>
      <c r="B120" s="164">
        <v>0.1</v>
      </c>
      <c r="C120" s="159">
        <v>0.5</v>
      </c>
      <c r="D120" s="163"/>
      <c r="S120" s="97"/>
      <c r="T120" s="97"/>
    </row>
    <row r="121">
      <c r="A121" s="159" t="s">
        <v>96</v>
      </c>
      <c r="B121" s="162">
        <v>0.1</v>
      </c>
      <c r="C121" s="159">
        <v>0.5</v>
      </c>
      <c r="D121" s="163"/>
      <c r="S121" s="97"/>
      <c r="T121" s="97"/>
    </row>
    <row r="122">
      <c r="A122" s="159" t="s">
        <v>97</v>
      </c>
      <c r="B122" s="164"/>
      <c r="C122" s="159">
        <v>0.6</v>
      </c>
      <c r="D122" s="163"/>
      <c r="S122" s="97"/>
      <c r="T122" s="97"/>
    </row>
    <row r="123">
      <c r="A123" s="159" t="s">
        <v>98</v>
      </c>
      <c r="B123" s="162">
        <v>0.1</v>
      </c>
      <c r="C123" s="159">
        <v>0.45</v>
      </c>
      <c r="D123" s="163"/>
      <c r="S123" s="97"/>
      <c r="T123" s="97"/>
    </row>
    <row r="124">
      <c r="A124" s="159"/>
      <c r="B124" s="164"/>
      <c r="C124" s="159"/>
      <c r="D124" s="163"/>
      <c r="S124" s="97"/>
      <c r="T124" s="97"/>
    </row>
    <row r="125">
      <c r="A125" s="159"/>
      <c r="B125" s="162"/>
      <c r="C125" s="159"/>
      <c r="D125" s="163"/>
      <c r="S125" s="97"/>
      <c r="T125" s="97"/>
    </row>
    <row r="126">
      <c r="D126" s="146"/>
      <c r="S126" s="97"/>
      <c r="T126" s="97"/>
    </row>
    <row r="127">
      <c r="B127" s="145"/>
      <c r="C127" s="145"/>
      <c r="S127" s="97"/>
      <c r="T127" s="97"/>
    </row>
    <row r="128">
      <c r="B128" s="145"/>
      <c r="C128" s="165" t="s">
        <v>99</v>
      </c>
      <c r="D128" s="166"/>
      <c r="E128" s="166"/>
      <c r="F128" s="167"/>
      <c r="S128" s="97"/>
      <c r="T128" s="97"/>
    </row>
    <row r="129">
      <c r="A129" s="155" t="s">
        <v>100</v>
      </c>
      <c r="B129" s="168"/>
      <c r="C129" s="169">
        <v>1.0</v>
      </c>
      <c r="D129" s="170">
        <v>3.0</v>
      </c>
      <c r="E129" s="170">
        <v>6.0</v>
      </c>
      <c r="F129" s="170">
        <v>12.0</v>
      </c>
      <c r="S129" s="97"/>
      <c r="T129" s="97"/>
    </row>
    <row r="130">
      <c r="A130" s="95" t="s">
        <v>101</v>
      </c>
      <c r="B130" s="171">
        <v>2599000.0</v>
      </c>
      <c r="C130" s="172">
        <v>354750.0</v>
      </c>
      <c r="D130" s="172">
        <v>354750.0</v>
      </c>
      <c r="E130" s="172">
        <v>354750.0</v>
      </c>
      <c r="F130" s="172">
        <v>354750.0</v>
      </c>
      <c r="S130" s="97"/>
      <c r="T130" s="97"/>
    </row>
    <row r="131">
      <c r="A131" s="95" t="s">
        <v>102</v>
      </c>
      <c r="B131" s="173">
        <v>2599000.0</v>
      </c>
      <c r="C131" s="172">
        <v>354750.0</v>
      </c>
      <c r="D131" s="172">
        <v>354750.0</v>
      </c>
      <c r="E131" s="172">
        <v>354750.0</v>
      </c>
      <c r="F131" s="172">
        <v>354750.0</v>
      </c>
      <c r="S131" s="97"/>
      <c r="T131" s="97"/>
    </row>
    <row r="132">
      <c r="A132" s="95" t="s">
        <v>103</v>
      </c>
      <c r="B132" s="173">
        <v>5431900.0</v>
      </c>
      <c r="C132" s="172">
        <v>683700.0</v>
      </c>
      <c r="D132" s="172">
        <v>632100.0</v>
      </c>
      <c r="E132" s="172">
        <v>580500.0</v>
      </c>
      <c r="F132" s="172">
        <v>516000.0</v>
      </c>
      <c r="S132" s="97"/>
      <c r="T132" s="97"/>
    </row>
    <row r="133">
      <c r="A133" s="95" t="s">
        <v>104</v>
      </c>
      <c r="B133" s="173">
        <v>2599000.0</v>
      </c>
      <c r="C133" s="172">
        <v>354750.0</v>
      </c>
      <c r="D133" s="172">
        <v>354750.0</v>
      </c>
      <c r="E133" s="172">
        <v>354750.0</v>
      </c>
      <c r="F133" s="172">
        <v>354750.0</v>
      </c>
      <c r="S133" s="97"/>
      <c r="T133" s="97"/>
    </row>
    <row r="134">
      <c r="A134" s="95" t="s">
        <v>105</v>
      </c>
      <c r="B134" s="174">
        <v>2599000.0</v>
      </c>
      <c r="C134" s="175">
        <v>354750.0</v>
      </c>
      <c r="D134" s="175">
        <v>354750.0</v>
      </c>
      <c r="E134" s="175">
        <v>354750.0</v>
      </c>
      <c r="F134" s="175">
        <v>354750.0</v>
      </c>
      <c r="S134" s="97"/>
      <c r="T134" s="97"/>
    </row>
    <row r="135">
      <c r="A135" s="95" t="s">
        <v>106</v>
      </c>
      <c r="B135" s="174">
        <v>2599000.0</v>
      </c>
      <c r="C135" s="174">
        <v>354750.0</v>
      </c>
      <c r="D135" s="174">
        <v>354750.0</v>
      </c>
      <c r="E135" s="174">
        <v>354750.0</v>
      </c>
      <c r="F135" s="174">
        <v>354750.0</v>
      </c>
      <c r="S135" s="97"/>
      <c r="T135" s="97"/>
    </row>
    <row r="136">
      <c r="A136" s="95" t="s">
        <v>107</v>
      </c>
      <c r="B136" s="174">
        <v>2599000.0</v>
      </c>
      <c r="C136" s="174">
        <v>354750.0</v>
      </c>
      <c r="D136" s="174">
        <v>354750.0</v>
      </c>
      <c r="E136" s="174">
        <v>354750.0</v>
      </c>
      <c r="F136" s="174">
        <v>354750.0</v>
      </c>
      <c r="S136" s="97"/>
      <c r="T136" s="97"/>
    </row>
    <row r="137">
      <c r="A137" s="95" t="s">
        <v>108</v>
      </c>
      <c r="B137" s="174">
        <v>2599000.0</v>
      </c>
      <c r="C137" s="174">
        <v>354750.0</v>
      </c>
      <c r="D137" s="174">
        <v>354750.0</v>
      </c>
      <c r="E137" s="174">
        <v>354750.0</v>
      </c>
      <c r="F137" s="174">
        <v>354750.0</v>
      </c>
      <c r="S137" s="97"/>
      <c r="T137" s="97"/>
    </row>
    <row r="138">
      <c r="A138" s="95" t="s">
        <v>109</v>
      </c>
      <c r="B138" s="174">
        <v>2599000.0</v>
      </c>
      <c r="C138" s="174">
        <v>354750.0</v>
      </c>
      <c r="D138" s="174">
        <v>354750.0</v>
      </c>
      <c r="E138" s="174">
        <v>354750.0</v>
      </c>
      <c r="F138" s="174">
        <v>354750.0</v>
      </c>
      <c r="S138" s="97"/>
      <c r="T138" s="97"/>
    </row>
    <row r="139">
      <c r="A139" s="95" t="s">
        <v>110</v>
      </c>
      <c r="B139" s="174">
        <v>2599000.0</v>
      </c>
      <c r="C139" s="174">
        <v>354750.0</v>
      </c>
      <c r="D139" s="174">
        <v>354750.0</v>
      </c>
      <c r="E139" s="174">
        <v>354750.0</v>
      </c>
      <c r="F139" s="174">
        <v>354750.0</v>
      </c>
      <c r="S139" s="97"/>
      <c r="T139" s="97"/>
    </row>
    <row r="140">
      <c r="A140" s="95" t="s">
        <v>111</v>
      </c>
      <c r="B140" s="174">
        <v>2599000.0</v>
      </c>
      <c r="C140" s="174">
        <v>354750.0</v>
      </c>
      <c r="D140" s="174">
        <v>354750.0</v>
      </c>
      <c r="E140" s="174">
        <v>354750.0</v>
      </c>
      <c r="F140" s="174">
        <v>354750.0</v>
      </c>
      <c r="S140" s="97"/>
      <c r="T140" s="97"/>
    </row>
    <row r="141">
      <c r="A141" s="95" t="s">
        <v>112</v>
      </c>
      <c r="B141" s="174">
        <v>2419000.0</v>
      </c>
      <c r="C141" s="174">
        <v>210000.0</v>
      </c>
      <c r="D141" s="174">
        <v>180000.0</v>
      </c>
      <c r="E141" s="174">
        <v>150000.0</v>
      </c>
      <c r="F141" s="174"/>
      <c r="S141" s="97"/>
      <c r="T141" s="97"/>
    </row>
    <row r="142">
      <c r="A142" s="149" t="s">
        <v>113</v>
      </c>
      <c r="B142" s="176">
        <v>349900.0</v>
      </c>
      <c r="C142" s="177"/>
      <c r="D142" s="177"/>
      <c r="E142" s="177"/>
      <c r="F142" s="177"/>
      <c r="S142" s="97"/>
      <c r="T142" s="97"/>
    </row>
    <row r="143">
      <c r="C143" s="145"/>
      <c r="S143" s="97"/>
      <c r="T143" s="97"/>
    </row>
    <row r="144">
      <c r="A144" s="15" t="s">
        <v>114</v>
      </c>
      <c r="B144" s="145"/>
      <c r="C144" s="145"/>
      <c r="S144" s="97"/>
      <c r="T144" s="97"/>
    </row>
    <row r="145">
      <c r="S145" s="97"/>
      <c r="T145" s="97"/>
    </row>
    <row r="146">
      <c r="A146" s="142" t="s">
        <v>115</v>
      </c>
      <c r="S146" s="97"/>
      <c r="T146" s="97"/>
    </row>
    <row r="147">
      <c r="B147" s="178" t="s">
        <v>116</v>
      </c>
      <c r="C147" s="178" t="s">
        <v>117</v>
      </c>
      <c r="S147" s="97"/>
      <c r="T147" s="97"/>
    </row>
    <row r="148">
      <c r="A148" s="15" t="s">
        <v>118</v>
      </c>
      <c r="B148" s="179">
        <v>2.5E7</v>
      </c>
      <c r="C148" s="179">
        <v>1.5E8</v>
      </c>
      <c r="S148" s="97"/>
      <c r="T148" s="97"/>
    </row>
    <row r="149">
      <c r="A149" s="15" t="s">
        <v>119</v>
      </c>
      <c r="B149" s="180" t="s">
        <v>120</v>
      </c>
      <c r="C149" s="145"/>
      <c r="S149" s="97"/>
      <c r="T149" s="97"/>
    </row>
    <row r="150">
      <c r="B150" s="145"/>
      <c r="C150" s="145"/>
      <c r="S150" s="97"/>
      <c r="T150" s="97"/>
    </row>
    <row r="151">
      <c r="B151" s="145"/>
      <c r="C151" s="145"/>
      <c r="S151" s="97"/>
      <c r="T151" s="97"/>
    </row>
    <row r="152">
      <c r="B152" s="145"/>
      <c r="C152" s="145"/>
      <c r="S152" s="97"/>
      <c r="T152" s="97"/>
    </row>
    <row r="153">
      <c r="B153" s="145"/>
      <c r="C153" s="145"/>
      <c r="S153" s="97"/>
      <c r="T153" s="97"/>
    </row>
    <row r="154">
      <c r="B154" s="145"/>
      <c r="C154" s="145"/>
      <c r="S154" s="97"/>
      <c r="T154" s="97"/>
    </row>
    <row r="155">
      <c r="B155" s="145"/>
      <c r="C155" s="145"/>
      <c r="S155" s="97"/>
      <c r="T155" s="97"/>
    </row>
    <row r="156">
      <c r="B156" s="145"/>
      <c r="C156" s="145"/>
      <c r="S156" s="97"/>
      <c r="T156" s="97"/>
    </row>
    <row r="157">
      <c r="B157" s="145"/>
      <c r="C157" s="145"/>
      <c r="S157" s="97"/>
      <c r="T157" s="97"/>
    </row>
    <row r="158">
      <c r="B158" s="145"/>
      <c r="C158" s="145"/>
      <c r="S158" s="97"/>
      <c r="T158" s="97"/>
    </row>
    <row r="159">
      <c r="B159" s="145"/>
      <c r="C159" s="145"/>
      <c r="S159" s="97"/>
      <c r="T159" s="97"/>
    </row>
    <row r="160">
      <c r="B160" s="145"/>
      <c r="C160" s="145"/>
      <c r="S160" s="97"/>
      <c r="T160" s="97"/>
    </row>
    <row r="161">
      <c r="B161" s="145"/>
      <c r="C161" s="145"/>
      <c r="S161" s="97"/>
      <c r="T161" s="97"/>
    </row>
    <row r="162">
      <c r="B162" s="145"/>
      <c r="C162" s="145"/>
      <c r="S162" s="97"/>
      <c r="T162" s="97"/>
    </row>
    <row r="163">
      <c r="B163" s="145"/>
      <c r="C163" s="145"/>
      <c r="S163" s="97"/>
      <c r="T163" s="97"/>
    </row>
    <row r="164">
      <c r="B164" s="145"/>
      <c r="C164" s="145"/>
      <c r="S164" s="97"/>
      <c r="T164" s="97"/>
    </row>
    <row r="165">
      <c r="B165" s="145"/>
      <c r="C165" s="145"/>
      <c r="S165" s="97"/>
      <c r="T165" s="97"/>
    </row>
    <row r="166">
      <c r="B166" s="145"/>
      <c r="C166" s="145"/>
      <c r="S166" s="97"/>
      <c r="T166" s="97"/>
    </row>
    <row r="167">
      <c r="B167" s="145"/>
      <c r="C167" s="145"/>
      <c r="S167" s="97"/>
      <c r="T167" s="97"/>
    </row>
    <row r="168">
      <c r="B168" s="145"/>
      <c r="C168" s="145"/>
      <c r="S168" s="97"/>
      <c r="T168" s="97"/>
    </row>
    <row r="169">
      <c r="B169" s="145"/>
      <c r="C169" s="145"/>
      <c r="S169" s="97"/>
      <c r="T169" s="97"/>
    </row>
    <row r="170">
      <c r="B170" s="145"/>
      <c r="C170" s="145"/>
      <c r="S170" s="97"/>
      <c r="T170" s="97"/>
    </row>
    <row r="171">
      <c r="B171" s="145"/>
      <c r="C171" s="145"/>
      <c r="S171" s="97"/>
      <c r="T171" s="97"/>
    </row>
    <row r="172">
      <c r="B172" s="145"/>
      <c r="C172" s="145"/>
      <c r="S172" s="97"/>
      <c r="T172" s="97"/>
    </row>
    <row r="173">
      <c r="B173" s="145"/>
      <c r="C173" s="145"/>
      <c r="S173" s="97"/>
      <c r="T173" s="97"/>
    </row>
    <row r="174">
      <c r="B174" s="145"/>
      <c r="C174" s="145"/>
      <c r="S174" s="97"/>
      <c r="T174" s="97"/>
    </row>
    <row r="175">
      <c r="B175" s="145"/>
      <c r="C175" s="145"/>
      <c r="S175" s="97"/>
      <c r="T175" s="97"/>
    </row>
    <row r="176">
      <c r="B176" s="145"/>
      <c r="C176" s="145"/>
      <c r="S176" s="97"/>
      <c r="T176" s="97"/>
    </row>
    <row r="177">
      <c r="B177" s="145"/>
      <c r="C177" s="145"/>
      <c r="S177" s="97"/>
      <c r="T177" s="97"/>
    </row>
    <row r="178">
      <c r="B178" s="145"/>
      <c r="C178" s="145"/>
      <c r="S178" s="97"/>
      <c r="T178" s="97"/>
    </row>
    <row r="179">
      <c r="B179" s="145"/>
      <c r="C179" s="145"/>
      <c r="S179" s="97"/>
      <c r="T179" s="97"/>
    </row>
    <row r="180">
      <c r="B180" s="145"/>
      <c r="C180" s="145"/>
      <c r="S180" s="97"/>
      <c r="T180" s="97"/>
    </row>
    <row r="181">
      <c r="B181" s="145"/>
      <c r="C181" s="145"/>
      <c r="S181" s="97"/>
      <c r="T181" s="97"/>
    </row>
    <row r="182">
      <c r="B182" s="145"/>
      <c r="C182" s="145"/>
      <c r="S182" s="97"/>
      <c r="T182" s="97"/>
    </row>
    <row r="183">
      <c r="B183" s="145"/>
      <c r="C183" s="145"/>
      <c r="S183" s="97"/>
      <c r="T183" s="97"/>
    </row>
    <row r="184">
      <c r="B184" s="145"/>
      <c r="C184" s="145"/>
      <c r="S184" s="97"/>
      <c r="T184" s="97"/>
    </row>
    <row r="185">
      <c r="B185" s="145"/>
      <c r="C185" s="145"/>
      <c r="S185" s="97"/>
      <c r="T185" s="97"/>
    </row>
    <row r="186">
      <c r="B186" s="145"/>
      <c r="C186" s="145"/>
      <c r="S186" s="97"/>
      <c r="T186" s="97"/>
    </row>
    <row r="187">
      <c r="B187" s="145"/>
      <c r="C187" s="145"/>
      <c r="S187" s="97"/>
      <c r="T187" s="97"/>
    </row>
    <row r="188">
      <c r="B188" s="145"/>
      <c r="C188" s="145"/>
      <c r="S188" s="97"/>
      <c r="T188" s="97"/>
    </row>
    <row r="189">
      <c r="B189" s="145"/>
      <c r="C189" s="145"/>
      <c r="S189" s="97"/>
      <c r="T189" s="97"/>
    </row>
    <row r="190">
      <c r="B190" s="145"/>
      <c r="C190" s="145"/>
      <c r="S190" s="97"/>
      <c r="T190" s="97"/>
    </row>
    <row r="191">
      <c r="B191" s="145"/>
      <c r="C191" s="145"/>
      <c r="S191" s="97"/>
      <c r="T191" s="97"/>
    </row>
    <row r="192">
      <c r="B192" s="145"/>
      <c r="C192" s="145"/>
      <c r="S192" s="97"/>
      <c r="T192" s="97"/>
    </row>
    <row r="193">
      <c r="B193" s="145"/>
      <c r="C193" s="145"/>
      <c r="S193" s="97"/>
      <c r="T193" s="97"/>
    </row>
    <row r="194">
      <c r="B194" s="145"/>
      <c r="C194" s="145"/>
      <c r="S194" s="97"/>
      <c r="T194" s="97"/>
    </row>
    <row r="195">
      <c r="B195" s="145"/>
      <c r="C195" s="145"/>
      <c r="S195" s="97"/>
      <c r="T195" s="97"/>
    </row>
    <row r="196">
      <c r="B196" s="145"/>
      <c r="C196" s="145"/>
      <c r="S196" s="97"/>
      <c r="T196" s="97"/>
    </row>
    <row r="197">
      <c r="B197" s="145"/>
      <c r="C197" s="145"/>
      <c r="S197" s="97"/>
      <c r="T197" s="97"/>
    </row>
    <row r="198">
      <c r="B198" s="145"/>
      <c r="C198" s="145"/>
      <c r="S198" s="97"/>
      <c r="T198" s="97"/>
    </row>
    <row r="199">
      <c r="B199" s="145"/>
      <c r="C199" s="145"/>
      <c r="S199" s="97"/>
      <c r="T199" s="97"/>
    </row>
    <row r="200">
      <c r="B200" s="145"/>
      <c r="C200" s="145"/>
      <c r="S200" s="97"/>
      <c r="T200" s="97"/>
    </row>
    <row r="201">
      <c r="B201" s="145"/>
      <c r="C201" s="145"/>
      <c r="S201" s="97"/>
      <c r="T201" s="97"/>
    </row>
    <row r="202">
      <c r="B202" s="145"/>
      <c r="C202" s="145"/>
      <c r="S202" s="97"/>
      <c r="T202" s="97"/>
    </row>
    <row r="203">
      <c r="B203" s="145"/>
      <c r="C203" s="145"/>
      <c r="S203" s="97"/>
      <c r="T203" s="97"/>
    </row>
    <row r="204">
      <c r="B204" s="145"/>
      <c r="C204" s="145"/>
      <c r="S204" s="97"/>
      <c r="T204" s="97"/>
    </row>
    <row r="205">
      <c r="B205" s="145"/>
      <c r="C205" s="145"/>
      <c r="S205" s="97"/>
      <c r="T205" s="97"/>
    </row>
    <row r="206">
      <c r="B206" s="145"/>
      <c r="C206" s="145"/>
      <c r="S206" s="97"/>
      <c r="T206" s="97"/>
    </row>
    <row r="207">
      <c r="B207" s="145"/>
      <c r="C207" s="145"/>
      <c r="S207" s="97"/>
      <c r="T207" s="97"/>
    </row>
    <row r="208">
      <c r="B208" s="145"/>
      <c r="C208" s="145"/>
      <c r="S208" s="97"/>
      <c r="T208" s="97"/>
    </row>
    <row r="209">
      <c r="B209" s="145"/>
      <c r="C209" s="145"/>
      <c r="S209" s="97"/>
      <c r="T209" s="97"/>
    </row>
    <row r="210">
      <c r="B210" s="145"/>
      <c r="C210" s="145"/>
      <c r="S210" s="97"/>
      <c r="T210" s="97"/>
    </row>
    <row r="211">
      <c r="B211" s="145"/>
      <c r="C211" s="145"/>
      <c r="S211" s="97"/>
      <c r="T211" s="97"/>
    </row>
    <row r="212">
      <c r="B212" s="145"/>
      <c r="C212" s="145"/>
      <c r="S212" s="97"/>
      <c r="T212" s="97"/>
    </row>
    <row r="213">
      <c r="B213" s="145"/>
      <c r="C213" s="145"/>
      <c r="S213" s="97"/>
      <c r="T213" s="97"/>
    </row>
    <row r="214">
      <c r="B214" s="145"/>
      <c r="C214" s="145"/>
      <c r="S214" s="97"/>
      <c r="T214" s="97"/>
    </row>
    <row r="215">
      <c r="B215" s="145"/>
      <c r="C215" s="145"/>
      <c r="S215" s="97"/>
      <c r="T215" s="97"/>
    </row>
    <row r="216">
      <c r="B216" s="145"/>
      <c r="C216" s="145"/>
      <c r="S216" s="97"/>
      <c r="T216" s="97"/>
    </row>
    <row r="217">
      <c r="B217" s="145"/>
      <c r="C217" s="145"/>
      <c r="S217" s="97"/>
      <c r="T217" s="97"/>
    </row>
    <row r="218">
      <c r="B218" s="145"/>
      <c r="C218" s="145"/>
      <c r="S218" s="97"/>
      <c r="T218" s="97"/>
    </row>
    <row r="219">
      <c r="B219" s="145"/>
      <c r="C219" s="145"/>
      <c r="S219" s="97"/>
      <c r="T219" s="97"/>
    </row>
    <row r="220">
      <c r="B220" s="145"/>
      <c r="C220" s="145"/>
      <c r="S220" s="97"/>
      <c r="T220" s="97"/>
    </row>
    <row r="221">
      <c r="B221" s="145"/>
      <c r="C221" s="145"/>
      <c r="S221" s="97"/>
      <c r="T221" s="97"/>
    </row>
    <row r="222">
      <c r="B222" s="145"/>
      <c r="C222" s="145"/>
      <c r="S222" s="97"/>
      <c r="T222" s="97"/>
    </row>
    <row r="223">
      <c r="B223" s="145"/>
      <c r="C223" s="145"/>
      <c r="S223" s="97"/>
      <c r="T223" s="97"/>
    </row>
    <row r="224">
      <c r="B224" s="145"/>
      <c r="C224" s="145"/>
      <c r="S224" s="97"/>
      <c r="T224" s="97"/>
    </row>
    <row r="225">
      <c r="B225" s="145"/>
      <c r="C225" s="145"/>
      <c r="S225" s="97"/>
      <c r="T225" s="97"/>
    </row>
    <row r="226">
      <c r="B226" s="145"/>
      <c r="C226" s="145"/>
      <c r="S226" s="97"/>
      <c r="T226" s="97"/>
    </row>
    <row r="227">
      <c r="B227" s="145"/>
      <c r="C227" s="145"/>
      <c r="S227" s="97"/>
      <c r="T227" s="97"/>
    </row>
    <row r="228">
      <c r="B228" s="145"/>
      <c r="C228" s="145"/>
      <c r="S228" s="97"/>
      <c r="T228" s="97"/>
    </row>
    <row r="229">
      <c r="B229" s="145"/>
      <c r="C229" s="145"/>
      <c r="S229" s="97"/>
      <c r="T229" s="97"/>
    </row>
    <row r="230">
      <c r="B230" s="145"/>
      <c r="C230" s="145"/>
      <c r="S230" s="97"/>
      <c r="T230" s="97"/>
    </row>
    <row r="231">
      <c r="B231" s="145"/>
      <c r="C231" s="145"/>
      <c r="S231" s="97"/>
      <c r="T231" s="97"/>
    </row>
    <row r="232">
      <c r="B232" s="145"/>
      <c r="C232" s="145"/>
      <c r="S232" s="97"/>
      <c r="T232" s="97"/>
    </row>
    <row r="233">
      <c r="B233" s="145"/>
      <c r="C233" s="145"/>
      <c r="S233" s="97"/>
      <c r="T233" s="97"/>
    </row>
    <row r="234">
      <c r="B234" s="145"/>
      <c r="C234" s="145"/>
      <c r="S234" s="97"/>
      <c r="T234" s="97"/>
    </row>
    <row r="235">
      <c r="B235" s="145"/>
      <c r="C235" s="145"/>
      <c r="S235" s="97"/>
      <c r="T235" s="97"/>
    </row>
    <row r="236">
      <c r="B236" s="145"/>
      <c r="C236" s="145"/>
      <c r="S236" s="97"/>
      <c r="T236" s="97"/>
    </row>
    <row r="237">
      <c r="B237" s="145"/>
      <c r="C237" s="145"/>
      <c r="S237" s="97"/>
      <c r="T237" s="97"/>
    </row>
    <row r="238">
      <c r="B238" s="145"/>
      <c r="C238" s="145"/>
      <c r="S238" s="97"/>
      <c r="T238" s="97"/>
    </row>
    <row r="239">
      <c r="B239" s="145"/>
      <c r="C239" s="145"/>
      <c r="S239" s="97"/>
      <c r="T239" s="97"/>
    </row>
    <row r="240">
      <c r="B240" s="145"/>
      <c r="C240" s="145"/>
      <c r="S240" s="97"/>
      <c r="T240" s="97"/>
    </row>
    <row r="241">
      <c r="B241" s="145"/>
      <c r="C241" s="145"/>
      <c r="S241" s="97"/>
      <c r="T241" s="97"/>
    </row>
    <row r="242">
      <c r="B242" s="145"/>
      <c r="C242" s="145"/>
      <c r="S242" s="97"/>
      <c r="T242" s="97"/>
    </row>
    <row r="243">
      <c r="B243" s="145"/>
      <c r="C243" s="145"/>
      <c r="S243" s="97"/>
      <c r="T243" s="97"/>
    </row>
    <row r="244">
      <c r="B244" s="145"/>
      <c r="C244" s="145"/>
      <c r="S244" s="97"/>
      <c r="T244" s="97"/>
    </row>
    <row r="245">
      <c r="B245" s="145"/>
      <c r="C245" s="145"/>
      <c r="S245" s="97"/>
      <c r="T245" s="97"/>
    </row>
    <row r="246">
      <c r="B246" s="145"/>
      <c r="C246" s="145"/>
      <c r="S246" s="97"/>
      <c r="T246" s="97"/>
    </row>
    <row r="247">
      <c r="B247" s="145"/>
      <c r="C247" s="145"/>
      <c r="S247" s="97"/>
      <c r="T247" s="97"/>
    </row>
    <row r="248">
      <c r="B248" s="145"/>
      <c r="C248" s="145"/>
      <c r="S248" s="97"/>
      <c r="T248" s="97"/>
    </row>
    <row r="249">
      <c r="B249" s="145"/>
      <c r="C249" s="145"/>
      <c r="S249" s="97"/>
      <c r="T249" s="97"/>
    </row>
    <row r="250">
      <c r="B250" s="145"/>
      <c r="C250" s="145"/>
      <c r="S250" s="97"/>
      <c r="T250" s="97"/>
    </row>
    <row r="251">
      <c r="B251" s="145"/>
      <c r="C251" s="145"/>
      <c r="S251" s="97"/>
      <c r="T251" s="97"/>
    </row>
    <row r="252">
      <c r="B252" s="145"/>
      <c r="C252" s="145"/>
      <c r="S252" s="97"/>
      <c r="T252" s="97"/>
    </row>
    <row r="253">
      <c r="B253" s="145"/>
      <c r="C253" s="145"/>
      <c r="S253" s="97"/>
      <c r="T253" s="97"/>
    </row>
    <row r="254">
      <c r="B254" s="145"/>
      <c r="C254" s="145"/>
      <c r="S254" s="97"/>
      <c r="T254" s="97"/>
    </row>
    <row r="255">
      <c r="B255" s="145"/>
      <c r="C255" s="145"/>
      <c r="S255" s="97"/>
      <c r="T255" s="97"/>
    </row>
    <row r="256">
      <c r="B256" s="145"/>
      <c r="C256" s="145"/>
      <c r="S256" s="97"/>
      <c r="T256" s="97"/>
    </row>
    <row r="257">
      <c r="B257" s="145"/>
      <c r="C257" s="145"/>
      <c r="S257" s="97"/>
      <c r="T257" s="97"/>
    </row>
    <row r="258">
      <c r="B258" s="145"/>
      <c r="C258" s="145"/>
      <c r="S258" s="97"/>
      <c r="T258" s="97"/>
    </row>
    <row r="259">
      <c r="B259" s="145"/>
      <c r="C259" s="145"/>
      <c r="S259" s="97"/>
      <c r="T259" s="97"/>
    </row>
    <row r="260">
      <c r="B260" s="145"/>
      <c r="C260" s="145"/>
      <c r="S260" s="97"/>
      <c r="T260" s="97"/>
    </row>
    <row r="261">
      <c r="B261" s="145"/>
      <c r="C261" s="145"/>
      <c r="S261" s="97"/>
      <c r="T261" s="97"/>
    </row>
    <row r="262">
      <c r="B262" s="145"/>
      <c r="C262" s="145"/>
      <c r="S262" s="97"/>
      <c r="T262" s="97"/>
    </row>
    <row r="263">
      <c r="B263" s="145"/>
      <c r="C263" s="145"/>
      <c r="S263" s="97"/>
      <c r="T263" s="97"/>
    </row>
    <row r="264">
      <c r="B264" s="145"/>
      <c r="C264" s="145"/>
      <c r="S264" s="97"/>
      <c r="T264" s="97"/>
    </row>
    <row r="265">
      <c r="B265" s="145"/>
      <c r="C265" s="145"/>
      <c r="S265" s="97"/>
      <c r="T265" s="97"/>
    </row>
    <row r="266">
      <c r="B266" s="145"/>
      <c r="C266" s="145"/>
      <c r="S266" s="97"/>
      <c r="T266" s="97"/>
    </row>
    <row r="267">
      <c r="B267" s="145"/>
      <c r="C267" s="145"/>
      <c r="S267" s="97"/>
      <c r="T267" s="97"/>
    </row>
    <row r="268">
      <c r="B268" s="145"/>
      <c r="C268" s="145"/>
      <c r="S268" s="97"/>
      <c r="T268" s="97"/>
    </row>
    <row r="269">
      <c r="B269" s="145"/>
      <c r="C269" s="145"/>
      <c r="S269" s="97"/>
      <c r="T269" s="97"/>
    </row>
    <row r="270">
      <c r="B270" s="145"/>
      <c r="C270" s="145"/>
      <c r="S270" s="97"/>
      <c r="T270" s="97"/>
    </row>
    <row r="271">
      <c r="B271" s="145"/>
      <c r="C271" s="145"/>
      <c r="S271" s="97"/>
      <c r="T271" s="97"/>
    </row>
    <row r="272">
      <c r="B272" s="145"/>
      <c r="C272" s="145"/>
      <c r="S272" s="97"/>
      <c r="T272" s="97"/>
    </row>
    <row r="273">
      <c r="B273" s="145"/>
      <c r="C273" s="145"/>
      <c r="S273" s="97"/>
      <c r="T273" s="97"/>
    </row>
    <row r="274">
      <c r="B274" s="145"/>
      <c r="C274" s="145"/>
      <c r="S274" s="97"/>
      <c r="T274" s="97"/>
    </row>
    <row r="275">
      <c r="B275" s="145"/>
      <c r="C275" s="145"/>
      <c r="S275" s="97"/>
      <c r="T275" s="97"/>
    </row>
    <row r="276">
      <c r="B276" s="145"/>
      <c r="C276" s="145"/>
      <c r="S276" s="97"/>
      <c r="T276" s="97"/>
    </row>
    <row r="277">
      <c r="B277" s="145"/>
      <c r="C277" s="145"/>
      <c r="S277" s="97"/>
      <c r="T277" s="97"/>
    </row>
    <row r="278">
      <c r="B278" s="145"/>
      <c r="C278" s="145"/>
      <c r="S278" s="97"/>
      <c r="T278" s="97"/>
    </row>
    <row r="279">
      <c r="B279" s="145"/>
      <c r="C279" s="145"/>
      <c r="S279" s="97"/>
      <c r="T279" s="97"/>
    </row>
    <row r="280">
      <c r="B280" s="145"/>
      <c r="C280" s="145"/>
      <c r="S280" s="97"/>
      <c r="T280" s="97"/>
    </row>
    <row r="281">
      <c r="B281" s="145"/>
      <c r="C281" s="145"/>
      <c r="S281" s="97"/>
      <c r="T281" s="97"/>
    </row>
    <row r="282">
      <c r="B282" s="145"/>
      <c r="C282" s="145"/>
      <c r="S282" s="97"/>
      <c r="T282" s="97"/>
    </row>
    <row r="283">
      <c r="B283" s="145"/>
      <c r="C283" s="145"/>
      <c r="S283" s="97"/>
      <c r="T283" s="97"/>
    </row>
    <row r="284">
      <c r="B284" s="145"/>
      <c r="C284" s="145"/>
      <c r="S284" s="97"/>
      <c r="T284" s="97"/>
    </row>
    <row r="285">
      <c r="B285" s="145"/>
      <c r="C285" s="145"/>
      <c r="S285" s="97"/>
      <c r="T285" s="97"/>
    </row>
    <row r="286">
      <c r="B286" s="145"/>
      <c r="C286" s="145"/>
      <c r="S286" s="97"/>
      <c r="T286" s="97"/>
    </row>
    <row r="287">
      <c r="B287" s="145"/>
      <c r="C287" s="145"/>
      <c r="S287" s="97"/>
      <c r="T287" s="97"/>
    </row>
    <row r="288">
      <c r="B288" s="145"/>
      <c r="C288" s="145"/>
      <c r="S288" s="97"/>
      <c r="T288" s="97"/>
    </row>
    <row r="289">
      <c r="B289" s="145"/>
      <c r="C289" s="145"/>
      <c r="S289" s="97"/>
      <c r="T289" s="97"/>
    </row>
    <row r="290">
      <c r="B290" s="145"/>
      <c r="C290" s="145"/>
      <c r="S290" s="97"/>
      <c r="T290" s="97"/>
    </row>
    <row r="291">
      <c r="B291" s="145"/>
      <c r="C291" s="145"/>
      <c r="S291" s="97"/>
      <c r="T291" s="97"/>
    </row>
    <row r="292">
      <c r="B292" s="145"/>
      <c r="C292" s="145"/>
      <c r="S292" s="97"/>
      <c r="T292" s="97"/>
    </row>
    <row r="293">
      <c r="B293" s="145"/>
      <c r="C293" s="145"/>
      <c r="S293" s="97"/>
      <c r="T293" s="97"/>
    </row>
    <row r="294">
      <c r="B294" s="145"/>
      <c r="C294" s="145"/>
      <c r="S294" s="97"/>
      <c r="T294" s="97"/>
    </row>
    <row r="295">
      <c r="B295" s="145"/>
      <c r="C295" s="145"/>
      <c r="S295" s="97"/>
      <c r="T295" s="97"/>
    </row>
    <row r="296">
      <c r="B296" s="145"/>
      <c r="C296" s="145"/>
      <c r="S296" s="97"/>
      <c r="T296" s="97"/>
    </row>
    <row r="297">
      <c r="B297" s="145"/>
      <c r="C297" s="145"/>
      <c r="S297" s="97"/>
      <c r="T297" s="97"/>
    </row>
    <row r="298">
      <c r="B298" s="145"/>
      <c r="C298" s="145"/>
      <c r="S298" s="97"/>
      <c r="T298" s="97"/>
    </row>
    <row r="299">
      <c r="B299" s="145"/>
      <c r="C299" s="145"/>
      <c r="S299" s="97"/>
      <c r="T299" s="97"/>
    </row>
    <row r="300">
      <c r="B300" s="145"/>
      <c r="C300" s="145"/>
      <c r="S300" s="97"/>
      <c r="T300" s="97"/>
    </row>
    <row r="301">
      <c r="B301" s="145"/>
      <c r="C301" s="145"/>
      <c r="S301" s="97"/>
      <c r="T301" s="97"/>
    </row>
    <row r="302">
      <c r="B302" s="145"/>
      <c r="C302" s="145"/>
      <c r="S302" s="97"/>
      <c r="T302" s="97"/>
    </row>
    <row r="303">
      <c r="B303" s="145"/>
      <c r="C303" s="145"/>
      <c r="S303" s="97"/>
      <c r="T303" s="97"/>
    </row>
    <row r="304">
      <c r="B304" s="145"/>
      <c r="C304" s="145"/>
      <c r="S304" s="97"/>
      <c r="T304" s="97"/>
    </row>
    <row r="305">
      <c r="B305" s="145"/>
      <c r="C305" s="145"/>
      <c r="S305" s="97"/>
      <c r="T305" s="97"/>
    </row>
    <row r="306">
      <c r="B306" s="145"/>
      <c r="C306" s="145"/>
      <c r="S306" s="97"/>
      <c r="T306" s="97"/>
    </row>
    <row r="307">
      <c r="B307" s="145"/>
      <c r="C307" s="145"/>
      <c r="S307" s="97"/>
      <c r="T307" s="97"/>
    </row>
    <row r="308">
      <c r="B308" s="145"/>
      <c r="C308" s="145"/>
      <c r="S308" s="97"/>
      <c r="T308" s="97"/>
    </row>
    <row r="309">
      <c r="B309" s="145"/>
      <c r="C309" s="145"/>
      <c r="S309" s="97"/>
      <c r="T309" s="97"/>
    </row>
    <row r="310">
      <c r="B310" s="145"/>
      <c r="C310" s="145"/>
      <c r="S310" s="97"/>
      <c r="T310" s="97"/>
    </row>
    <row r="311">
      <c r="B311" s="145"/>
      <c r="C311" s="145"/>
      <c r="S311" s="97"/>
      <c r="T311" s="97"/>
    </row>
    <row r="312">
      <c r="B312" s="145"/>
      <c r="C312" s="145"/>
      <c r="S312" s="97"/>
      <c r="T312" s="97"/>
    </row>
    <row r="313">
      <c r="B313" s="145"/>
      <c r="C313" s="145"/>
      <c r="S313" s="97"/>
      <c r="T313" s="97"/>
    </row>
    <row r="314">
      <c r="B314" s="145"/>
      <c r="C314" s="145"/>
      <c r="S314" s="97"/>
      <c r="T314" s="97"/>
    </row>
    <row r="315">
      <c r="B315" s="145"/>
      <c r="C315" s="145"/>
      <c r="S315" s="97"/>
      <c r="T315" s="97"/>
    </row>
    <row r="316">
      <c r="B316" s="145"/>
      <c r="C316" s="145"/>
      <c r="S316" s="97"/>
      <c r="T316" s="97"/>
    </row>
    <row r="317">
      <c r="B317" s="145"/>
      <c r="C317" s="145"/>
      <c r="S317" s="97"/>
      <c r="T317" s="97"/>
    </row>
    <row r="318">
      <c r="B318" s="145"/>
      <c r="C318" s="145"/>
      <c r="S318" s="97"/>
      <c r="T318" s="97"/>
    </row>
    <row r="319">
      <c r="B319" s="145"/>
      <c r="C319" s="145"/>
      <c r="S319" s="97"/>
      <c r="T319" s="97"/>
    </row>
    <row r="320">
      <c r="B320" s="145"/>
      <c r="C320" s="145"/>
      <c r="S320" s="97"/>
      <c r="T320" s="97"/>
    </row>
    <row r="321">
      <c r="B321" s="145"/>
      <c r="C321" s="145"/>
      <c r="S321" s="97"/>
      <c r="T321" s="97"/>
    </row>
    <row r="322">
      <c r="B322" s="145"/>
      <c r="C322" s="145"/>
      <c r="S322" s="97"/>
      <c r="T322" s="97"/>
    </row>
    <row r="323">
      <c r="B323" s="145"/>
      <c r="C323" s="145"/>
      <c r="S323" s="97"/>
      <c r="T323" s="97"/>
    </row>
    <row r="324">
      <c r="B324" s="145"/>
      <c r="C324" s="145"/>
      <c r="S324" s="97"/>
      <c r="T324" s="97"/>
    </row>
    <row r="325">
      <c r="B325" s="145"/>
      <c r="C325" s="145"/>
      <c r="S325" s="97"/>
      <c r="T325" s="97"/>
    </row>
    <row r="326">
      <c r="B326" s="145"/>
      <c r="C326" s="145"/>
      <c r="S326" s="97"/>
      <c r="T326" s="97"/>
    </row>
    <row r="327">
      <c r="B327" s="145"/>
      <c r="C327" s="145"/>
      <c r="S327" s="97"/>
      <c r="T327" s="97"/>
    </row>
    <row r="328">
      <c r="B328" s="145"/>
      <c r="C328" s="145"/>
      <c r="S328" s="97"/>
      <c r="T328" s="97"/>
    </row>
    <row r="329">
      <c r="B329" s="145"/>
      <c r="C329" s="145"/>
      <c r="S329" s="97"/>
      <c r="T329" s="97"/>
    </row>
    <row r="330">
      <c r="B330" s="145"/>
      <c r="C330" s="145"/>
      <c r="S330" s="97"/>
      <c r="T330" s="97"/>
    </row>
    <row r="331">
      <c r="B331" s="145"/>
      <c r="C331" s="145"/>
      <c r="S331" s="97"/>
      <c r="T331" s="97"/>
    </row>
    <row r="332">
      <c r="B332" s="145"/>
      <c r="C332" s="145"/>
      <c r="S332" s="97"/>
      <c r="T332" s="97"/>
    </row>
    <row r="333">
      <c r="B333" s="145"/>
      <c r="C333" s="145"/>
      <c r="S333" s="97"/>
      <c r="T333" s="97"/>
    </row>
    <row r="334">
      <c r="B334" s="145"/>
      <c r="C334" s="145"/>
      <c r="S334" s="97"/>
      <c r="T334" s="97"/>
    </row>
    <row r="335">
      <c r="B335" s="145"/>
      <c r="C335" s="145"/>
      <c r="S335" s="97"/>
      <c r="T335" s="97"/>
    </row>
    <row r="336">
      <c r="B336" s="145"/>
      <c r="C336" s="145"/>
      <c r="S336" s="97"/>
      <c r="T336" s="97"/>
    </row>
    <row r="337">
      <c r="B337" s="145"/>
      <c r="C337" s="145"/>
      <c r="S337" s="97"/>
      <c r="T337" s="97"/>
    </row>
    <row r="338">
      <c r="B338" s="145"/>
      <c r="C338" s="145"/>
      <c r="S338" s="97"/>
      <c r="T338" s="97"/>
    </row>
    <row r="339">
      <c r="B339" s="145"/>
      <c r="C339" s="145"/>
      <c r="S339" s="97"/>
      <c r="T339" s="97"/>
    </row>
    <row r="340">
      <c r="B340" s="145"/>
      <c r="C340" s="145"/>
      <c r="S340" s="97"/>
      <c r="T340" s="97"/>
    </row>
    <row r="341">
      <c r="B341" s="145"/>
      <c r="C341" s="145"/>
      <c r="S341" s="97"/>
      <c r="T341" s="97"/>
    </row>
    <row r="342">
      <c r="B342" s="145"/>
      <c r="C342" s="145"/>
      <c r="S342" s="97"/>
      <c r="T342" s="97"/>
    </row>
    <row r="343">
      <c r="B343" s="145"/>
      <c r="C343" s="145"/>
      <c r="S343" s="97"/>
      <c r="T343" s="97"/>
    </row>
    <row r="344">
      <c r="B344" s="145"/>
      <c r="C344" s="145"/>
      <c r="S344" s="97"/>
      <c r="T344" s="97"/>
    </row>
    <row r="345">
      <c r="B345" s="145"/>
      <c r="C345" s="145"/>
      <c r="S345" s="97"/>
      <c r="T345" s="97"/>
    </row>
    <row r="346">
      <c r="B346" s="145"/>
      <c r="C346" s="145"/>
      <c r="S346" s="97"/>
      <c r="T346" s="97"/>
    </row>
    <row r="347">
      <c r="B347" s="145"/>
      <c r="C347" s="145"/>
      <c r="S347" s="97"/>
      <c r="T347" s="97"/>
    </row>
    <row r="348">
      <c r="B348" s="145"/>
      <c r="C348" s="145"/>
      <c r="S348" s="97"/>
      <c r="T348" s="97"/>
    </row>
    <row r="349">
      <c r="B349" s="145"/>
      <c r="C349" s="145"/>
      <c r="S349" s="97"/>
      <c r="T349" s="97"/>
    </row>
    <row r="350">
      <c r="B350" s="145"/>
      <c r="C350" s="145"/>
      <c r="S350" s="97"/>
      <c r="T350" s="97"/>
    </row>
    <row r="351">
      <c r="B351" s="145"/>
      <c r="C351" s="145"/>
      <c r="S351" s="97"/>
      <c r="T351" s="97"/>
    </row>
    <row r="352">
      <c r="B352" s="145"/>
      <c r="C352" s="145"/>
      <c r="S352" s="97"/>
      <c r="T352" s="97"/>
    </row>
    <row r="353">
      <c r="B353" s="145"/>
      <c r="C353" s="145"/>
      <c r="S353" s="97"/>
      <c r="T353" s="97"/>
    </row>
    <row r="354">
      <c r="B354" s="145"/>
      <c r="C354" s="145"/>
      <c r="S354" s="97"/>
      <c r="T354" s="97"/>
    </row>
    <row r="355">
      <c r="B355" s="145"/>
      <c r="C355" s="145"/>
      <c r="S355" s="97"/>
      <c r="T355" s="97"/>
    </row>
    <row r="356">
      <c r="B356" s="145"/>
      <c r="C356" s="145"/>
      <c r="S356" s="97"/>
      <c r="T356" s="97"/>
    </row>
    <row r="357">
      <c r="B357" s="145"/>
      <c r="C357" s="145"/>
      <c r="S357" s="97"/>
      <c r="T357" s="97"/>
    </row>
    <row r="358">
      <c r="B358" s="145"/>
      <c r="C358" s="145"/>
      <c r="S358" s="97"/>
      <c r="T358" s="97"/>
    </row>
    <row r="359">
      <c r="B359" s="145"/>
      <c r="C359" s="145"/>
      <c r="S359" s="97"/>
      <c r="T359" s="97"/>
    </row>
    <row r="360">
      <c r="B360" s="145"/>
      <c r="C360" s="145"/>
      <c r="S360" s="97"/>
      <c r="T360" s="97"/>
    </row>
    <row r="361">
      <c r="B361" s="145"/>
      <c r="C361" s="145"/>
      <c r="S361" s="97"/>
      <c r="T361" s="97"/>
    </row>
    <row r="362">
      <c r="B362" s="145"/>
      <c r="C362" s="145"/>
      <c r="S362" s="97"/>
      <c r="T362" s="97"/>
    </row>
    <row r="363">
      <c r="B363" s="145"/>
      <c r="C363" s="145"/>
      <c r="S363" s="97"/>
      <c r="T363" s="97"/>
    </row>
    <row r="364">
      <c r="B364" s="145"/>
      <c r="C364" s="145"/>
      <c r="S364" s="97"/>
      <c r="T364" s="97"/>
    </row>
    <row r="365">
      <c r="B365" s="145"/>
      <c r="C365" s="145"/>
      <c r="S365" s="97"/>
      <c r="T365" s="97"/>
    </row>
    <row r="366">
      <c r="B366" s="145"/>
      <c r="C366" s="145"/>
      <c r="S366" s="97"/>
      <c r="T366" s="97"/>
    </row>
    <row r="367">
      <c r="B367" s="145"/>
      <c r="C367" s="145"/>
      <c r="S367" s="97"/>
      <c r="T367" s="97"/>
    </row>
    <row r="368">
      <c r="B368" s="145"/>
      <c r="C368" s="145"/>
      <c r="S368" s="97"/>
      <c r="T368" s="97"/>
    </row>
    <row r="369">
      <c r="B369" s="145"/>
      <c r="C369" s="145"/>
      <c r="S369" s="97"/>
      <c r="T369" s="97"/>
    </row>
    <row r="370">
      <c r="B370" s="145"/>
      <c r="C370" s="145"/>
      <c r="S370" s="97"/>
      <c r="T370" s="97"/>
    </row>
    <row r="371">
      <c r="B371" s="145"/>
      <c r="C371" s="145"/>
      <c r="S371" s="97"/>
      <c r="T371" s="97"/>
    </row>
    <row r="372">
      <c r="B372" s="145"/>
      <c r="C372" s="145"/>
      <c r="S372" s="97"/>
      <c r="T372" s="97"/>
    </row>
    <row r="373">
      <c r="B373" s="145"/>
      <c r="C373" s="145"/>
      <c r="S373" s="97"/>
      <c r="T373" s="97"/>
    </row>
    <row r="374">
      <c r="B374" s="145"/>
      <c r="C374" s="145"/>
      <c r="S374" s="97"/>
      <c r="T374" s="97"/>
    </row>
    <row r="375">
      <c r="B375" s="145"/>
      <c r="C375" s="145"/>
      <c r="S375" s="97"/>
      <c r="T375" s="97"/>
    </row>
    <row r="376">
      <c r="B376" s="145"/>
      <c r="C376" s="145"/>
      <c r="S376" s="97"/>
      <c r="T376" s="97"/>
    </row>
    <row r="377">
      <c r="B377" s="145"/>
      <c r="C377" s="145"/>
      <c r="S377" s="97"/>
      <c r="T377" s="97"/>
    </row>
    <row r="378">
      <c r="B378" s="145"/>
      <c r="C378" s="145"/>
      <c r="S378" s="97"/>
      <c r="T378" s="97"/>
    </row>
    <row r="379">
      <c r="B379" s="145"/>
      <c r="C379" s="145"/>
      <c r="S379" s="97"/>
      <c r="T379" s="97"/>
    </row>
    <row r="380">
      <c r="B380" s="145"/>
      <c r="C380" s="145"/>
      <c r="S380" s="97"/>
      <c r="T380" s="97"/>
    </row>
    <row r="381">
      <c r="B381" s="145"/>
      <c r="C381" s="145"/>
      <c r="S381" s="97"/>
      <c r="T381" s="97"/>
    </row>
    <row r="382">
      <c r="B382" s="145"/>
      <c r="C382" s="145"/>
      <c r="S382" s="97"/>
      <c r="T382" s="97"/>
    </row>
    <row r="383">
      <c r="B383" s="145"/>
      <c r="C383" s="145"/>
      <c r="S383" s="97"/>
      <c r="T383" s="97"/>
    </row>
    <row r="384">
      <c r="B384" s="145"/>
      <c r="C384" s="145"/>
      <c r="S384" s="97"/>
      <c r="T384" s="97"/>
    </row>
    <row r="385">
      <c r="B385" s="145"/>
      <c r="C385" s="145"/>
      <c r="S385" s="97"/>
      <c r="T385" s="97"/>
    </row>
    <row r="386">
      <c r="B386" s="145"/>
      <c r="C386" s="145"/>
      <c r="S386" s="97"/>
      <c r="T386" s="97"/>
    </row>
    <row r="387">
      <c r="B387" s="145"/>
      <c r="C387" s="145"/>
      <c r="S387" s="97"/>
      <c r="T387" s="97"/>
    </row>
    <row r="388">
      <c r="B388" s="145"/>
      <c r="C388" s="145"/>
      <c r="S388" s="97"/>
      <c r="T388" s="97"/>
    </row>
    <row r="389">
      <c r="B389" s="145"/>
      <c r="C389" s="145"/>
      <c r="S389" s="97"/>
      <c r="T389" s="97"/>
    </row>
    <row r="390">
      <c r="B390" s="145"/>
      <c r="C390" s="145"/>
      <c r="S390" s="97"/>
      <c r="T390" s="97"/>
    </row>
    <row r="391">
      <c r="B391" s="145"/>
      <c r="C391" s="145"/>
      <c r="S391" s="97"/>
      <c r="T391" s="97"/>
    </row>
    <row r="392">
      <c r="B392" s="145"/>
      <c r="C392" s="145"/>
      <c r="S392" s="97"/>
      <c r="T392" s="97"/>
    </row>
    <row r="393">
      <c r="B393" s="145"/>
      <c r="C393" s="145"/>
      <c r="S393" s="97"/>
      <c r="T393" s="97"/>
    </row>
    <row r="394">
      <c r="B394" s="145"/>
      <c r="C394" s="145"/>
      <c r="S394" s="97"/>
      <c r="T394" s="97"/>
    </row>
    <row r="395">
      <c r="B395" s="145"/>
      <c r="C395" s="145"/>
      <c r="S395" s="97"/>
      <c r="T395" s="97"/>
    </row>
    <row r="396">
      <c r="B396" s="145"/>
      <c r="C396" s="145"/>
      <c r="S396" s="97"/>
      <c r="T396" s="97"/>
    </row>
    <row r="397">
      <c r="B397" s="145"/>
      <c r="C397" s="145"/>
      <c r="S397" s="97"/>
      <c r="T397" s="97"/>
    </row>
    <row r="398">
      <c r="B398" s="145"/>
      <c r="C398" s="145"/>
      <c r="S398" s="97"/>
      <c r="T398" s="97"/>
    </row>
    <row r="399">
      <c r="B399" s="145"/>
      <c r="C399" s="145"/>
      <c r="S399" s="97"/>
      <c r="T399" s="97"/>
    </row>
    <row r="400">
      <c r="B400" s="145"/>
      <c r="C400" s="145"/>
      <c r="S400" s="97"/>
      <c r="T400" s="97"/>
    </row>
    <row r="401">
      <c r="B401" s="145"/>
      <c r="C401" s="145"/>
      <c r="S401" s="97"/>
      <c r="T401" s="97"/>
    </row>
    <row r="402">
      <c r="B402" s="145"/>
      <c r="C402" s="145"/>
      <c r="S402" s="97"/>
      <c r="T402" s="97"/>
    </row>
    <row r="403">
      <c r="B403" s="145"/>
      <c r="C403" s="145"/>
      <c r="S403" s="97"/>
      <c r="T403" s="97"/>
    </row>
    <row r="404">
      <c r="B404" s="145"/>
      <c r="C404" s="145"/>
      <c r="S404" s="97"/>
      <c r="T404" s="97"/>
    </row>
    <row r="405">
      <c r="B405" s="145"/>
      <c r="C405" s="145"/>
      <c r="S405" s="97"/>
      <c r="T405" s="97"/>
    </row>
    <row r="406">
      <c r="B406" s="145"/>
      <c r="C406" s="145"/>
      <c r="S406" s="97"/>
      <c r="T406" s="97"/>
    </row>
    <row r="407">
      <c r="B407" s="145"/>
      <c r="C407" s="145"/>
      <c r="S407" s="97"/>
      <c r="T407" s="97"/>
    </row>
    <row r="408">
      <c r="B408" s="145"/>
      <c r="C408" s="145"/>
      <c r="S408" s="97"/>
      <c r="T408" s="97"/>
    </row>
    <row r="409">
      <c r="B409" s="145"/>
      <c r="C409" s="145"/>
      <c r="S409" s="97"/>
      <c r="T409" s="97"/>
    </row>
    <row r="410">
      <c r="B410" s="145"/>
      <c r="C410" s="145"/>
      <c r="S410" s="97"/>
      <c r="T410" s="97"/>
    </row>
    <row r="411">
      <c r="B411" s="145"/>
      <c r="C411" s="145"/>
      <c r="S411" s="97"/>
      <c r="T411" s="97"/>
    </row>
    <row r="412">
      <c r="B412" s="145"/>
      <c r="C412" s="145"/>
      <c r="S412" s="97"/>
      <c r="T412" s="97"/>
    </row>
    <row r="413">
      <c r="B413" s="145"/>
      <c r="C413" s="145"/>
      <c r="S413" s="97"/>
      <c r="T413" s="97"/>
    </row>
    <row r="414">
      <c r="B414" s="145"/>
      <c r="C414" s="145"/>
      <c r="S414" s="97"/>
      <c r="T414" s="97"/>
    </row>
    <row r="415">
      <c r="B415" s="145"/>
      <c r="C415" s="145"/>
      <c r="S415" s="97"/>
      <c r="T415" s="97"/>
    </row>
    <row r="416">
      <c r="B416" s="145"/>
      <c r="C416" s="145"/>
      <c r="S416" s="97"/>
      <c r="T416" s="97"/>
    </row>
    <row r="417">
      <c r="B417" s="145"/>
      <c r="C417" s="145"/>
      <c r="S417" s="97"/>
      <c r="T417" s="97"/>
    </row>
    <row r="418">
      <c r="B418" s="145"/>
      <c r="C418" s="145"/>
      <c r="S418" s="97"/>
      <c r="T418" s="97"/>
    </row>
    <row r="419">
      <c r="B419" s="145"/>
      <c r="C419" s="145"/>
      <c r="S419" s="97"/>
      <c r="T419" s="97"/>
    </row>
    <row r="420">
      <c r="B420" s="145"/>
      <c r="C420" s="145"/>
      <c r="S420" s="97"/>
      <c r="T420" s="97"/>
    </row>
    <row r="421">
      <c r="B421" s="145"/>
      <c r="C421" s="145"/>
      <c r="S421" s="97"/>
      <c r="T421" s="97"/>
    </row>
    <row r="422">
      <c r="B422" s="145"/>
      <c r="C422" s="145"/>
      <c r="S422" s="97"/>
      <c r="T422" s="97"/>
    </row>
    <row r="423">
      <c r="B423" s="145"/>
      <c r="C423" s="145"/>
      <c r="S423" s="97"/>
      <c r="T423" s="97"/>
    </row>
    <row r="424">
      <c r="B424" s="145"/>
      <c r="C424" s="145"/>
      <c r="S424" s="97"/>
      <c r="T424" s="97"/>
    </row>
    <row r="425">
      <c r="B425" s="145"/>
      <c r="C425" s="145"/>
      <c r="S425" s="97"/>
      <c r="T425" s="97"/>
    </row>
    <row r="426">
      <c r="B426" s="145"/>
      <c r="C426" s="145"/>
      <c r="S426" s="97"/>
      <c r="T426" s="97"/>
    </row>
    <row r="427">
      <c r="B427" s="145"/>
      <c r="C427" s="145"/>
      <c r="S427" s="97"/>
      <c r="T427" s="97"/>
    </row>
    <row r="428">
      <c r="B428" s="145"/>
      <c r="C428" s="145"/>
      <c r="S428" s="97"/>
      <c r="T428" s="97"/>
    </row>
    <row r="429">
      <c r="B429" s="145"/>
      <c r="C429" s="145"/>
      <c r="S429" s="97"/>
      <c r="T429" s="97"/>
    </row>
    <row r="430">
      <c r="B430" s="145"/>
      <c r="C430" s="145"/>
      <c r="S430" s="97"/>
      <c r="T430" s="97"/>
    </row>
    <row r="431">
      <c r="B431" s="145"/>
      <c r="C431" s="145"/>
      <c r="S431" s="97"/>
      <c r="T431" s="97"/>
    </row>
    <row r="432">
      <c r="B432" s="145"/>
      <c r="C432" s="145"/>
      <c r="S432" s="97"/>
      <c r="T432" s="97"/>
    </row>
    <row r="433">
      <c r="B433" s="145"/>
      <c r="C433" s="145"/>
      <c r="S433" s="97"/>
      <c r="T433" s="97"/>
    </row>
    <row r="434">
      <c r="B434" s="145"/>
      <c r="C434" s="145"/>
      <c r="S434" s="97"/>
      <c r="T434" s="97"/>
    </row>
    <row r="435">
      <c r="B435" s="145"/>
      <c r="C435" s="145"/>
      <c r="S435" s="97"/>
      <c r="T435" s="97"/>
    </row>
    <row r="436">
      <c r="B436" s="145"/>
      <c r="C436" s="145"/>
      <c r="S436" s="97"/>
      <c r="T436" s="97"/>
    </row>
    <row r="437">
      <c r="B437" s="145"/>
      <c r="C437" s="145"/>
      <c r="S437" s="97"/>
      <c r="T437" s="97"/>
    </row>
    <row r="438">
      <c r="B438" s="145"/>
      <c r="C438" s="145"/>
      <c r="S438" s="97"/>
      <c r="T438" s="97"/>
    </row>
    <row r="439">
      <c r="B439" s="145"/>
      <c r="C439" s="145"/>
      <c r="S439" s="97"/>
      <c r="T439" s="97"/>
    </row>
    <row r="440">
      <c r="B440" s="145"/>
      <c r="C440" s="145"/>
      <c r="S440" s="97"/>
      <c r="T440" s="97"/>
    </row>
    <row r="441">
      <c r="B441" s="145"/>
      <c r="C441" s="145"/>
      <c r="S441" s="97"/>
      <c r="T441" s="97"/>
    </row>
    <row r="442">
      <c r="B442" s="145"/>
      <c r="C442" s="145"/>
      <c r="S442" s="97"/>
      <c r="T442" s="97"/>
    </row>
    <row r="443">
      <c r="B443" s="145"/>
      <c r="C443" s="145"/>
      <c r="S443" s="97"/>
      <c r="T443" s="97"/>
    </row>
    <row r="444">
      <c r="B444" s="145"/>
      <c r="C444" s="145"/>
      <c r="S444" s="97"/>
      <c r="T444" s="97"/>
    </row>
    <row r="445">
      <c r="B445" s="145"/>
      <c r="C445" s="145"/>
      <c r="S445" s="97"/>
      <c r="T445" s="97"/>
    </row>
    <row r="446">
      <c r="B446" s="145"/>
      <c r="C446" s="145"/>
      <c r="S446" s="97"/>
      <c r="T446" s="97"/>
    </row>
    <row r="447">
      <c r="B447" s="145"/>
      <c r="C447" s="145"/>
      <c r="S447" s="97"/>
      <c r="T447" s="97"/>
    </row>
    <row r="448">
      <c r="B448" s="145"/>
      <c r="C448" s="145"/>
      <c r="S448" s="97"/>
      <c r="T448" s="97"/>
    </row>
    <row r="449">
      <c r="B449" s="145"/>
      <c r="C449" s="145"/>
      <c r="S449" s="97"/>
      <c r="T449" s="97"/>
    </row>
    <row r="450">
      <c r="B450" s="145"/>
      <c r="C450" s="145"/>
      <c r="S450" s="97"/>
      <c r="T450" s="97"/>
    </row>
    <row r="451">
      <c r="B451" s="145"/>
      <c r="C451" s="145"/>
      <c r="S451" s="97"/>
      <c r="T451" s="97"/>
    </row>
    <row r="452">
      <c r="B452" s="145"/>
      <c r="C452" s="145"/>
      <c r="S452" s="97"/>
      <c r="T452" s="97"/>
    </row>
    <row r="453">
      <c r="B453" s="145"/>
      <c r="C453" s="145"/>
      <c r="S453" s="97"/>
      <c r="T453" s="97"/>
    </row>
    <row r="454">
      <c r="B454" s="145"/>
      <c r="C454" s="145"/>
      <c r="S454" s="97"/>
      <c r="T454" s="97"/>
    </row>
    <row r="455">
      <c r="B455" s="145"/>
      <c r="C455" s="145"/>
      <c r="S455" s="97"/>
      <c r="T455" s="97"/>
    </row>
    <row r="456">
      <c r="B456" s="145"/>
      <c r="C456" s="145"/>
      <c r="S456" s="97"/>
      <c r="T456" s="97"/>
    </row>
    <row r="457">
      <c r="B457" s="145"/>
      <c r="C457" s="145"/>
      <c r="S457" s="97"/>
      <c r="T457" s="97"/>
    </row>
    <row r="458">
      <c r="B458" s="145"/>
      <c r="C458" s="145"/>
      <c r="S458" s="97"/>
      <c r="T458" s="97"/>
    </row>
    <row r="459">
      <c r="B459" s="145"/>
      <c r="C459" s="145"/>
      <c r="S459" s="97"/>
      <c r="T459" s="97"/>
    </row>
    <row r="460">
      <c r="B460" s="145"/>
      <c r="C460" s="145"/>
      <c r="S460" s="97"/>
      <c r="T460" s="97"/>
    </row>
    <row r="461">
      <c r="B461" s="145"/>
      <c r="C461" s="145"/>
      <c r="S461" s="97"/>
      <c r="T461" s="97"/>
    </row>
    <row r="462">
      <c r="B462" s="145"/>
      <c r="C462" s="145"/>
      <c r="S462" s="97"/>
      <c r="T462" s="97"/>
    </row>
    <row r="463">
      <c r="B463" s="145"/>
      <c r="C463" s="145"/>
      <c r="S463" s="97"/>
      <c r="T463" s="97"/>
    </row>
    <row r="464">
      <c r="B464" s="145"/>
      <c r="C464" s="145"/>
      <c r="S464" s="97"/>
      <c r="T464" s="97"/>
    </row>
    <row r="465">
      <c r="B465" s="145"/>
      <c r="C465" s="145"/>
      <c r="S465" s="97"/>
      <c r="T465" s="97"/>
    </row>
    <row r="466">
      <c r="B466" s="145"/>
      <c r="C466" s="145"/>
      <c r="S466" s="97"/>
      <c r="T466" s="97"/>
    </row>
    <row r="467">
      <c r="B467" s="145"/>
      <c r="C467" s="145"/>
      <c r="S467" s="97"/>
      <c r="T467" s="97"/>
    </row>
    <row r="468">
      <c r="B468" s="145"/>
      <c r="C468" s="145"/>
      <c r="S468" s="97"/>
      <c r="T468" s="97"/>
    </row>
    <row r="469">
      <c r="B469" s="145"/>
      <c r="C469" s="145"/>
      <c r="S469" s="97"/>
      <c r="T469" s="97"/>
    </row>
    <row r="470">
      <c r="B470" s="145"/>
      <c r="C470" s="145"/>
      <c r="S470" s="97"/>
      <c r="T470" s="97"/>
    </row>
    <row r="471">
      <c r="B471" s="145"/>
      <c r="C471" s="145"/>
      <c r="S471" s="97"/>
      <c r="T471" s="97"/>
    </row>
    <row r="472">
      <c r="B472" s="145"/>
      <c r="C472" s="145"/>
      <c r="S472" s="97"/>
      <c r="T472" s="97"/>
    </row>
    <row r="473">
      <c r="B473" s="145"/>
      <c r="C473" s="145"/>
      <c r="S473" s="97"/>
      <c r="T473" s="97"/>
    </row>
    <row r="474">
      <c r="B474" s="145"/>
      <c r="C474" s="145"/>
      <c r="S474" s="97"/>
      <c r="T474" s="97"/>
    </row>
    <row r="475">
      <c r="B475" s="145"/>
      <c r="C475" s="145"/>
      <c r="S475" s="97"/>
      <c r="T475" s="97"/>
    </row>
    <row r="476">
      <c r="B476" s="145"/>
      <c r="C476" s="145"/>
      <c r="S476" s="97"/>
      <c r="T476" s="97"/>
    </row>
    <row r="477">
      <c r="B477" s="145"/>
      <c r="C477" s="145"/>
      <c r="S477" s="97"/>
      <c r="T477" s="97"/>
    </row>
    <row r="478">
      <c r="B478" s="145"/>
      <c r="C478" s="145"/>
      <c r="S478" s="97"/>
      <c r="T478" s="97"/>
    </row>
    <row r="479">
      <c r="B479" s="145"/>
      <c r="C479" s="145"/>
      <c r="S479" s="97"/>
      <c r="T479" s="97"/>
    </row>
    <row r="480">
      <c r="B480" s="145"/>
      <c r="C480" s="145"/>
      <c r="S480" s="97"/>
      <c r="T480" s="97"/>
    </row>
    <row r="481">
      <c r="B481" s="145"/>
      <c r="C481" s="145"/>
      <c r="S481" s="97"/>
      <c r="T481" s="97"/>
    </row>
    <row r="482">
      <c r="B482" s="145"/>
      <c r="C482" s="145"/>
      <c r="S482" s="97"/>
      <c r="T482" s="97"/>
    </row>
    <row r="483">
      <c r="B483" s="145"/>
      <c r="C483" s="145"/>
      <c r="S483" s="97"/>
      <c r="T483" s="97"/>
    </row>
    <row r="484">
      <c r="B484" s="145"/>
      <c r="C484" s="145"/>
      <c r="S484" s="97"/>
      <c r="T484" s="97"/>
    </row>
    <row r="485">
      <c r="B485" s="145"/>
      <c r="C485" s="145"/>
      <c r="S485" s="97"/>
      <c r="T485" s="97"/>
    </row>
    <row r="486">
      <c r="B486" s="145"/>
      <c r="C486" s="145"/>
      <c r="S486" s="97"/>
      <c r="T486" s="97"/>
    </row>
    <row r="487">
      <c r="B487" s="145"/>
      <c r="C487" s="145"/>
      <c r="S487" s="97"/>
      <c r="T487" s="97"/>
    </row>
    <row r="488">
      <c r="B488" s="145"/>
      <c r="C488" s="145"/>
      <c r="S488" s="97"/>
      <c r="T488" s="97"/>
    </row>
    <row r="489">
      <c r="B489" s="145"/>
      <c r="C489" s="145"/>
      <c r="S489" s="97"/>
      <c r="T489" s="97"/>
    </row>
    <row r="490">
      <c r="B490" s="145"/>
      <c r="C490" s="145"/>
      <c r="S490" s="97"/>
      <c r="T490" s="97"/>
    </row>
    <row r="491">
      <c r="B491" s="145"/>
      <c r="C491" s="145"/>
      <c r="S491" s="97"/>
      <c r="T491" s="97"/>
    </row>
    <row r="492">
      <c r="B492" s="145"/>
      <c r="C492" s="145"/>
      <c r="S492" s="97"/>
      <c r="T492" s="97"/>
    </row>
    <row r="493">
      <c r="B493" s="145"/>
      <c r="C493" s="145"/>
      <c r="S493" s="97"/>
      <c r="T493" s="97"/>
    </row>
    <row r="494">
      <c r="B494" s="145"/>
      <c r="C494" s="145"/>
      <c r="S494" s="97"/>
      <c r="T494" s="97"/>
    </row>
    <row r="495">
      <c r="B495" s="145"/>
      <c r="C495" s="145"/>
      <c r="S495" s="97"/>
      <c r="T495" s="97"/>
    </row>
    <row r="496">
      <c r="B496" s="145"/>
      <c r="C496" s="145"/>
      <c r="S496" s="97"/>
      <c r="T496" s="97"/>
    </row>
    <row r="497">
      <c r="B497" s="145"/>
      <c r="C497" s="145"/>
      <c r="S497" s="97"/>
      <c r="T497" s="97"/>
    </row>
    <row r="498">
      <c r="B498" s="145"/>
      <c r="C498" s="145"/>
      <c r="S498" s="97"/>
      <c r="T498" s="97"/>
    </row>
    <row r="499">
      <c r="B499" s="145"/>
      <c r="C499" s="145"/>
      <c r="S499" s="97"/>
      <c r="T499" s="97"/>
    </row>
    <row r="500">
      <c r="B500" s="145"/>
      <c r="C500" s="145"/>
      <c r="S500" s="97"/>
      <c r="T500" s="97"/>
    </row>
    <row r="501">
      <c r="B501" s="145"/>
      <c r="C501" s="145"/>
      <c r="S501" s="97"/>
      <c r="T501" s="97"/>
    </row>
    <row r="502">
      <c r="B502" s="145"/>
      <c r="C502" s="145"/>
      <c r="S502" s="97"/>
      <c r="T502" s="97"/>
    </row>
    <row r="503">
      <c r="B503" s="145"/>
      <c r="C503" s="145"/>
      <c r="S503" s="97"/>
      <c r="T503" s="97"/>
    </row>
    <row r="504">
      <c r="B504" s="145"/>
      <c r="C504" s="145"/>
      <c r="S504" s="97"/>
      <c r="T504" s="97"/>
    </row>
    <row r="505">
      <c r="B505" s="145"/>
      <c r="C505" s="145"/>
      <c r="S505" s="97"/>
      <c r="T505" s="97"/>
    </row>
    <row r="506">
      <c r="B506" s="145"/>
      <c r="C506" s="145"/>
      <c r="S506" s="97"/>
      <c r="T506" s="97"/>
    </row>
    <row r="507">
      <c r="B507" s="145"/>
      <c r="C507" s="145"/>
      <c r="S507" s="97"/>
      <c r="T507" s="97"/>
    </row>
    <row r="508">
      <c r="B508" s="145"/>
      <c r="C508" s="145"/>
      <c r="S508" s="97"/>
      <c r="T508" s="97"/>
    </row>
    <row r="509">
      <c r="B509" s="145"/>
      <c r="C509" s="145"/>
      <c r="S509" s="97"/>
      <c r="T509" s="97"/>
    </row>
    <row r="510">
      <c r="B510" s="145"/>
      <c r="C510" s="145"/>
      <c r="S510" s="97"/>
      <c r="T510" s="97"/>
    </row>
    <row r="511">
      <c r="B511" s="145"/>
      <c r="C511" s="145"/>
      <c r="S511" s="97"/>
      <c r="T511" s="97"/>
    </row>
    <row r="512">
      <c r="B512" s="145"/>
      <c r="C512" s="145"/>
      <c r="S512" s="97"/>
      <c r="T512" s="97"/>
    </row>
    <row r="513">
      <c r="B513" s="145"/>
      <c r="C513" s="145"/>
      <c r="S513" s="97"/>
      <c r="T513" s="97"/>
    </row>
    <row r="514">
      <c r="B514" s="145"/>
      <c r="C514" s="145"/>
      <c r="S514" s="97"/>
      <c r="T514" s="97"/>
    </row>
    <row r="515">
      <c r="B515" s="145"/>
      <c r="C515" s="145"/>
      <c r="S515" s="97"/>
      <c r="T515" s="97"/>
    </row>
    <row r="516">
      <c r="B516" s="145"/>
      <c r="C516" s="145"/>
      <c r="S516" s="97"/>
      <c r="T516" s="97"/>
    </row>
    <row r="517">
      <c r="B517" s="145"/>
      <c r="C517" s="145"/>
      <c r="S517" s="97"/>
      <c r="T517" s="97"/>
    </row>
    <row r="518">
      <c r="B518" s="145"/>
      <c r="C518" s="145"/>
      <c r="S518" s="97"/>
      <c r="T518" s="97"/>
    </row>
    <row r="519">
      <c r="B519" s="145"/>
      <c r="C519" s="145"/>
      <c r="S519" s="97"/>
      <c r="T519" s="97"/>
    </row>
    <row r="520">
      <c r="B520" s="145"/>
      <c r="C520" s="145"/>
      <c r="S520" s="97"/>
      <c r="T520" s="97"/>
    </row>
    <row r="521">
      <c r="B521" s="145"/>
      <c r="C521" s="145"/>
      <c r="S521" s="97"/>
      <c r="T521" s="97"/>
    </row>
    <row r="522">
      <c r="B522" s="145"/>
      <c r="C522" s="145"/>
      <c r="S522" s="97"/>
      <c r="T522" s="97"/>
    </row>
    <row r="523">
      <c r="B523" s="145"/>
      <c r="C523" s="145"/>
      <c r="S523" s="97"/>
      <c r="T523" s="97"/>
    </row>
    <row r="524">
      <c r="B524" s="145"/>
      <c r="C524" s="145"/>
      <c r="S524" s="97"/>
      <c r="T524" s="97"/>
    </row>
    <row r="525">
      <c r="B525" s="145"/>
      <c r="C525" s="145"/>
      <c r="S525" s="97"/>
      <c r="T525" s="97"/>
    </row>
    <row r="526">
      <c r="B526" s="145"/>
      <c r="C526" s="145"/>
      <c r="S526" s="97"/>
      <c r="T526" s="97"/>
    </row>
    <row r="527">
      <c r="B527" s="145"/>
      <c r="C527" s="145"/>
      <c r="S527" s="97"/>
      <c r="T527" s="97"/>
    </row>
    <row r="528">
      <c r="B528" s="145"/>
      <c r="C528" s="145"/>
      <c r="S528" s="97"/>
      <c r="T528" s="97"/>
    </row>
    <row r="529">
      <c r="B529" s="145"/>
      <c r="C529" s="145"/>
      <c r="S529" s="97"/>
      <c r="T529" s="97"/>
    </row>
    <row r="530">
      <c r="B530" s="145"/>
      <c r="C530" s="145"/>
      <c r="S530" s="97"/>
      <c r="T530" s="97"/>
    </row>
    <row r="531">
      <c r="B531" s="145"/>
      <c r="C531" s="145"/>
      <c r="S531" s="97"/>
      <c r="T531" s="97"/>
    </row>
    <row r="532">
      <c r="B532" s="145"/>
      <c r="C532" s="145"/>
      <c r="S532" s="97"/>
      <c r="T532" s="97"/>
    </row>
    <row r="533">
      <c r="B533" s="145"/>
      <c r="C533" s="145"/>
      <c r="S533" s="97"/>
      <c r="T533" s="97"/>
    </row>
    <row r="534">
      <c r="B534" s="145"/>
      <c r="C534" s="145"/>
      <c r="S534" s="97"/>
      <c r="T534" s="97"/>
    </row>
    <row r="535">
      <c r="B535" s="145"/>
      <c r="C535" s="145"/>
      <c r="S535" s="97"/>
      <c r="T535" s="97"/>
    </row>
    <row r="536">
      <c r="B536" s="145"/>
      <c r="C536" s="145"/>
      <c r="S536" s="97"/>
      <c r="T536" s="97"/>
    </row>
    <row r="537">
      <c r="B537" s="145"/>
      <c r="C537" s="145"/>
      <c r="S537" s="97"/>
      <c r="T537" s="97"/>
    </row>
    <row r="538">
      <c r="B538" s="145"/>
      <c r="C538" s="145"/>
      <c r="S538" s="97"/>
      <c r="T538" s="97"/>
    </row>
    <row r="539">
      <c r="B539" s="145"/>
      <c r="C539" s="145"/>
      <c r="S539" s="97"/>
      <c r="T539" s="97"/>
    </row>
    <row r="540">
      <c r="B540" s="145"/>
      <c r="C540" s="145"/>
      <c r="S540" s="97"/>
      <c r="T540" s="97"/>
    </row>
    <row r="541">
      <c r="B541" s="145"/>
      <c r="C541" s="145"/>
      <c r="S541" s="97"/>
      <c r="T541" s="97"/>
    </row>
    <row r="542">
      <c r="B542" s="145"/>
      <c r="C542" s="145"/>
      <c r="S542" s="97"/>
      <c r="T542" s="97"/>
    </row>
    <row r="543">
      <c r="B543" s="145"/>
      <c r="C543" s="145"/>
      <c r="S543" s="97"/>
      <c r="T543" s="97"/>
    </row>
    <row r="544">
      <c r="B544" s="145"/>
      <c r="C544" s="145"/>
      <c r="S544" s="97"/>
      <c r="T544" s="97"/>
    </row>
    <row r="545">
      <c r="B545" s="145"/>
      <c r="C545" s="145"/>
      <c r="S545" s="97"/>
      <c r="T545" s="97"/>
    </row>
    <row r="546">
      <c r="B546" s="145"/>
      <c r="C546" s="145"/>
      <c r="S546" s="97"/>
      <c r="T546" s="97"/>
    </row>
    <row r="547">
      <c r="B547" s="145"/>
      <c r="C547" s="145"/>
      <c r="S547" s="97"/>
      <c r="T547" s="97"/>
    </row>
    <row r="548">
      <c r="B548" s="145"/>
      <c r="C548" s="145"/>
      <c r="S548" s="97"/>
      <c r="T548" s="97"/>
    </row>
    <row r="549">
      <c r="B549" s="145"/>
      <c r="C549" s="145"/>
      <c r="S549" s="97"/>
      <c r="T549" s="97"/>
    </row>
    <row r="550">
      <c r="B550" s="145"/>
      <c r="C550" s="145"/>
      <c r="S550" s="97"/>
      <c r="T550" s="97"/>
    </row>
    <row r="551">
      <c r="B551" s="145"/>
      <c r="C551" s="145"/>
      <c r="S551" s="97"/>
      <c r="T551" s="97"/>
    </row>
    <row r="552">
      <c r="B552" s="145"/>
      <c r="C552" s="145"/>
      <c r="S552" s="97"/>
      <c r="T552" s="97"/>
    </row>
    <row r="553">
      <c r="B553" s="145"/>
      <c r="C553" s="145"/>
      <c r="S553" s="97"/>
      <c r="T553" s="97"/>
    </row>
    <row r="554">
      <c r="B554" s="145"/>
      <c r="C554" s="145"/>
      <c r="S554" s="97"/>
      <c r="T554" s="97"/>
    </row>
    <row r="555">
      <c r="B555" s="145"/>
      <c r="C555" s="145"/>
      <c r="S555" s="97"/>
      <c r="T555" s="97"/>
    </row>
    <row r="556">
      <c r="B556" s="145"/>
      <c r="C556" s="145"/>
      <c r="S556" s="97"/>
      <c r="T556" s="97"/>
    </row>
    <row r="557">
      <c r="B557" s="145"/>
      <c r="C557" s="145"/>
      <c r="S557" s="97"/>
      <c r="T557" s="97"/>
    </row>
    <row r="558">
      <c r="B558" s="145"/>
      <c r="C558" s="145"/>
      <c r="S558" s="97"/>
      <c r="T558" s="97"/>
    </row>
    <row r="559">
      <c r="B559" s="145"/>
      <c r="C559" s="145"/>
      <c r="S559" s="97"/>
      <c r="T559" s="97"/>
    </row>
    <row r="560">
      <c r="B560" s="145"/>
      <c r="C560" s="145"/>
      <c r="S560" s="97"/>
      <c r="T560" s="97"/>
    </row>
    <row r="561">
      <c r="B561" s="145"/>
      <c r="C561" s="145"/>
      <c r="S561" s="97"/>
      <c r="T561" s="97"/>
    </row>
    <row r="562">
      <c r="B562" s="145"/>
      <c r="C562" s="145"/>
      <c r="S562" s="97"/>
      <c r="T562" s="97"/>
    </row>
    <row r="563">
      <c r="B563" s="145"/>
      <c r="C563" s="145"/>
      <c r="S563" s="97"/>
      <c r="T563" s="97"/>
    </row>
    <row r="564">
      <c r="B564" s="145"/>
      <c r="C564" s="145"/>
      <c r="S564" s="97"/>
      <c r="T564" s="97"/>
    </row>
    <row r="565">
      <c r="B565" s="145"/>
      <c r="C565" s="145"/>
      <c r="S565" s="97"/>
      <c r="T565" s="97"/>
    </row>
    <row r="566">
      <c r="B566" s="145"/>
      <c r="C566" s="145"/>
      <c r="S566" s="97"/>
      <c r="T566" s="97"/>
    </row>
    <row r="567">
      <c r="B567" s="145"/>
      <c r="C567" s="145"/>
      <c r="S567" s="97"/>
      <c r="T567" s="97"/>
    </row>
    <row r="568">
      <c r="B568" s="145"/>
      <c r="C568" s="145"/>
      <c r="S568" s="97"/>
      <c r="T568" s="97"/>
    </row>
    <row r="569">
      <c r="B569" s="145"/>
      <c r="C569" s="145"/>
      <c r="S569" s="97"/>
      <c r="T569" s="97"/>
    </row>
    <row r="570">
      <c r="B570" s="145"/>
      <c r="C570" s="145"/>
      <c r="S570" s="97"/>
      <c r="T570" s="97"/>
    </row>
    <row r="571">
      <c r="B571" s="145"/>
      <c r="C571" s="145"/>
      <c r="S571" s="97"/>
      <c r="T571" s="97"/>
    </row>
    <row r="572">
      <c r="B572" s="145"/>
      <c r="C572" s="145"/>
      <c r="S572" s="97"/>
      <c r="T572" s="97"/>
    </row>
    <row r="573">
      <c r="B573" s="145"/>
      <c r="C573" s="145"/>
      <c r="S573" s="97"/>
      <c r="T573" s="97"/>
    </row>
    <row r="574">
      <c r="B574" s="145"/>
      <c r="C574" s="145"/>
      <c r="S574" s="97"/>
      <c r="T574" s="97"/>
    </row>
    <row r="575">
      <c r="B575" s="145"/>
      <c r="C575" s="145"/>
      <c r="S575" s="97"/>
      <c r="T575" s="97"/>
    </row>
    <row r="576">
      <c r="B576" s="145"/>
      <c r="C576" s="145"/>
      <c r="S576" s="97"/>
      <c r="T576" s="97"/>
    </row>
    <row r="577">
      <c r="B577" s="145"/>
      <c r="C577" s="145"/>
      <c r="S577" s="97"/>
      <c r="T577" s="97"/>
    </row>
    <row r="578">
      <c r="B578" s="145"/>
      <c r="C578" s="145"/>
      <c r="S578" s="97"/>
      <c r="T578" s="97"/>
    </row>
    <row r="579">
      <c r="B579" s="145"/>
      <c r="C579" s="145"/>
      <c r="S579" s="97"/>
      <c r="T579" s="97"/>
    </row>
    <row r="580">
      <c r="B580" s="145"/>
      <c r="C580" s="145"/>
      <c r="S580" s="97"/>
      <c r="T580" s="97"/>
    </row>
    <row r="581">
      <c r="B581" s="145"/>
      <c r="C581" s="145"/>
      <c r="S581" s="97"/>
      <c r="T581" s="97"/>
    </row>
    <row r="582">
      <c r="B582" s="145"/>
      <c r="C582" s="145"/>
      <c r="S582" s="97"/>
      <c r="T582" s="97"/>
    </row>
    <row r="583">
      <c r="B583" s="145"/>
      <c r="C583" s="145"/>
      <c r="S583" s="97"/>
      <c r="T583" s="97"/>
    </row>
    <row r="584">
      <c r="B584" s="145"/>
      <c r="C584" s="145"/>
      <c r="S584" s="97"/>
      <c r="T584" s="97"/>
    </row>
    <row r="585">
      <c r="B585" s="145"/>
      <c r="C585" s="145"/>
      <c r="S585" s="97"/>
      <c r="T585" s="97"/>
    </row>
    <row r="586">
      <c r="B586" s="145"/>
      <c r="C586" s="145"/>
      <c r="S586" s="97"/>
      <c r="T586" s="97"/>
    </row>
    <row r="587">
      <c r="B587" s="145"/>
      <c r="C587" s="145"/>
      <c r="S587" s="97"/>
      <c r="T587" s="97"/>
    </row>
    <row r="588">
      <c r="B588" s="145"/>
      <c r="C588" s="145"/>
      <c r="S588" s="97"/>
      <c r="T588" s="97"/>
    </row>
    <row r="589">
      <c r="B589" s="145"/>
      <c r="C589" s="145"/>
      <c r="S589" s="97"/>
      <c r="T589" s="97"/>
    </row>
    <row r="590">
      <c r="B590" s="145"/>
      <c r="C590" s="145"/>
      <c r="S590" s="97"/>
      <c r="T590" s="97"/>
    </row>
    <row r="591">
      <c r="B591" s="145"/>
      <c r="C591" s="145"/>
      <c r="S591" s="97"/>
      <c r="T591" s="97"/>
    </row>
    <row r="592">
      <c r="B592" s="145"/>
      <c r="C592" s="145"/>
      <c r="S592" s="97"/>
      <c r="T592" s="97"/>
    </row>
    <row r="593">
      <c r="B593" s="145"/>
      <c r="C593" s="145"/>
      <c r="S593" s="97"/>
      <c r="T593" s="97"/>
    </row>
    <row r="594">
      <c r="B594" s="145"/>
      <c r="C594" s="145"/>
      <c r="S594" s="97"/>
      <c r="T594" s="97"/>
    </row>
    <row r="595">
      <c r="B595" s="145"/>
      <c r="C595" s="145"/>
      <c r="S595" s="97"/>
      <c r="T595" s="97"/>
    </row>
    <row r="596">
      <c r="B596" s="145"/>
      <c r="C596" s="145"/>
      <c r="S596" s="97"/>
      <c r="T596" s="97"/>
    </row>
    <row r="597">
      <c r="B597" s="145"/>
      <c r="C597" s="145"/>
      <c r="S597" s="97"/>
      <c r="T597" s="97"/>
    </row>
    <row r="598">
      <c r="B598" s="145"/>
      <c r="C598" s="145"/>
      <c r="S598" s="97"/>
      <c r="T598" s="97"/>
    </row>
    <row r="599">
      <c r="B599" s="145"/>
      <c r="C599" s="145"/>
      <c r="S599" s="97"/>
      <c r="T599" s="97"/>
    </row>
    <row r="600">
      <c r="B600" s="145"/>
      <c r="C600" s="145"/>
      <c r="S600" s="97"/>
      <c r="T600" s="97"/>
    </row>
    <row r="601">
      <c r="B601" s="145"/>
      <c r="C601" s="145"/>
      <c r="S601" s="97"/>
      <c r="T601" s="97"/>
    </row>
    <row r="602">
      <c r="B602" s="145"/>
      <c r="C602" s="145"/>
      <c r="S602" s="97"/>
      <c r="T602" s="97"/>
    </row>
    <row r="603">
      <c r="B603" s="145"/>
      <c r="C603" s="145"/>
      <c r="S603" s="97"/>
      <c r="T603" s="97"/>
    </row>
    <row r="604">
      <c r="B604" s="145"/>
      <c r="C604" s="145"/>
      <c r="S604" s="97"/>
      <c r="T604" s="97"/>
    </row>
    <row r="605">
      <c r="B605" s="145"/>
      <c r="C605" s="145"/>
      <c r="S605" s="97"/>
      <c r="T605" s="97"/>
    </row>
    <row r="606">
      <c r="B606" s="145"/>
      <c r="C606" s="145"/>
      <c r="S606" s="97"/>
      <c r="T606" s="97"/>
    </row>
    <row r="607">
      <c r="B607" s="145"/>
      <c r="C607" s="145"/>
      <c r="S607" s="97"/>
      <c r="T607" s="97"/>
    </row>
    <row r="608">
      <c r="B608" s="145"/>
      <c r="C608" s="145"/>
      <c r="S608" s="97"/>
      <c r="T608" s="97"/>
    </row>
    <row r="609">
      <c r="B609" s="145"/>
      <c r="C609" s="145"/>
      <c r="S609" s="97"/>
      <c r="T609" s="97"/>
    </row>
    <row r="610">
      <c r="B610" s="145"/>
      <c r="C610" s="145"/>
      <c r="S610" s="97"/>
      <c r="T610" s="97"/>
    </row>
    <row r="611">
      <c r="B611" s="145"/>
      <c r="C611" s="145"/>
      <c r="S611" s="97"/>
      <c r="T611" s="97"/>
    </row>
    <row r="612">
      <c r="B612" s="145"/>
      <c r="C612" s="145"/>
      <c r="S612" s="97"/>
      <c r="T612" s="97"/>
    </row>
    <row r="613">
      <c r="B613" s="145"/>
      <c r="C613" s="145"/>
      <c r="S613" s="97"/>
      <c r="T613" s="97"/>
    </row>
    <row r="614">
      <c r="B614" s="145"/>
      <c r="C614" s="145"/>
      <c r="S614" s="97"/>
      <c r="T614" s="97"/>
    </row>
    <row r="615">
      <c r="B615" s="145"/>
      <c r="C615" s="145"/>
      <c r="S615" s="97"/>
      <c r="T615" s="97"/>
    </row>
    <row r="616">
      <c r="B616" s="145"/>
      <c r="C616" s="145"/>
      <c r="S616" s="97"/>
      <c r="T616" s="97"/>
    </row>
    <row r="617">
      <c r="B617" s="145"/>
      <c r="C617" s="145"/>
      <c r="S617" s="97"/>
      <c r="T617" s="97"/>
    </row>
    <row r="618">
      <c r="B618" s="145"/>
      <c r="C618" s="145"/>
      <c r="S618" s="97"/>
      <c r="T618" s="97"/>
    </row>
    <row r="619">
      <c r="B619" s="145"/>
      <c r="C619" s="145"/>
      <c r="S619" s="97"/>
      <c r="T619" s="97"/>
    </row>
    <row r="620">
      <c r="B620" s="145"/>
      <c r="C620" s="145"/>
      <c r="S620" s="97"/>
      <c r="T620" s="97"/>
    </row>
    <row r="621">
      <c r="B621" s="145"/>
      <c r="C621" s="145"/>
      <c r="S621" s="97"/>
      <c r="T621" s="97"/>
    </row>
    <row r="622">
      <c r="B622" s="145"/>
      <c r="C622" s="145"/>
      <c r="S622" s="97"/>
      <c r="T622" s="97"/>
    </row>
    <row r="623">
      <c r="B623" s="145"/>
      <c r="C623" s="145"/>
      <c r="S623" s="97"/>
      <c r="T623" s="97"/>
    </row>
    <row r="624">
      <c r="B624" s="145"/>
      <c r="C624" s="145"/>
      <c r="S624" s="97"/>
      <c r="T624" s="97"/>
    </row>
    <row r="625">
      <c r="B625" s="145"/>
      <c r="C625" s="145"/>
      <c r="S625" s="97"/>
      <c r="T625" s="97"/>
    </row>
    <row r="626">
      <c r="B626" s="145"/>
      <c r="C626" s="145"/>
      <c r="S626" s="97"/>
      <c r="T626" s="97"/>
    </row>
    <row r="627">
      <c r="B627" s="145"/>
      <c r="C627" s="145"/>
      <c r="S627" s="97"/>
      <c r="T627" s="97"/>
    </row>
    <row r="628">
      <c r="B628" s="145"/>
      <c r="C628" s="145"/>
      <c r="S628" s="97"/>
      <c r="T628" s="97"/>
    </row>
    <row r="629">
      <c r="B629" s="145"/>
      <c r="C629" s="145"/>
      <c r="S629" s="97"/>
      <c r="T629" s="97"/>
    </row>
    <row r="630">
      <c r="B630" s="145"/>
      <c r="C630" s="145"/>
      <c r="S630" s="97"/>
      <c r="T630" s="97"/>
    </row>
    <row r="631">
      <c r="B631" s="145"/>
      <c r="C631" s="145"/>
      <c r="S631" s="97"/>
      <c r="T631" s="97"/>
    </row>
    <row r="632">
      <c r="B632" s="145"/>
      <c r="C632" s="145"/>
      <c r="S632" s="97"/>
      <c r="T632" s="97"/>
    </row>
    <row r="633">
      <c r="B633" s="145"/>
      <c r="C633" s="145"/>
      <c r="S633" s="97"/>
      <c r="T633" s="97"/>
    </row>
    <row r="634">
      <c r="B634" s="145"/>
      <c r="C634" s="145"/>
      <c r="S634" s="97"/>
      <c r="T634" s="97"/>
    </row>
    <row r="635">
      <c r="B635" s="145"/>
      <c r="C635" s="145"/>
      <c r="S635" s="97"/>
      <c r="T635" s="97"/>
    </row>
    <row r="636">
      <c r="B636" s="145"/>
      <c r="C636" s="145"/>
      <c r="S636" s="97"/>
      <c r="T636" s="97"/>
    </row>
    <row r="637">
      <c r="B637" s="145"/>
      <c r="C637" s="145"/>
      <c r="S637" s="97"/>
      <c r="T637" s="97"/>
    </row>
    <row r="638">
      <c r="B638" s="145"/>
      <c r="C638" s="145"/>
      <c r="S638" s="97"/>
      <c r="T638" s="97"/>
    </row>
    <row r="639">
      <c r="B639" s="145"/>
      <c r="C639" s="145"/>
      <c r="S639" s="97"/>
      <c r="T639" s="97"/>
    </row>
    <row r="640">
      <c r="B640" s="145"/>
      <c r="C640" s="145"/>
      <c r="S640" s="97"/>
      <c r="T640" s="97"/>
    </row>
    <row r="641">
      <c r="B641" s="145"/>
      <c r="C641" s="145"/>
      <c r="S641" s="97"/>
      <c r="T641" s="97"/>
    </row>
    <row r="642">
      <c r="B642" s="145"/>
      <c r="C642" s="145"/>
      <c r="S642" s="97"/>
      <c r="T642" s="97"/>
    </row>
    <row r="643">
      <c r="B643" s="145"/>
      <c r="C643" s="145"/>
      <c r="S643" s="97"/>
      <c r="T643" s="97"/>
    </row>
    <row r="644">
      <c r="B644" s="145"/>
      <c r="C644" s="145"/>
      <c r="S644" s="97"/>
      <c r="T644" s="97"/>
    </row>
    <row r="645">
      <c r="B645" s="145"/>
      <c r="C645" s="145"/>
      <c r="S645" s="97"/>
      <c r="T645" s="97"/>
    </row>
    <row r="646">
      <c r="B646" s="145"/>
      <c r="C646" s="145"/>
      <c r="S646" s="97"/>
      <c r="T646" s="97"/>
    </row>
    <row r="647">
      <c r="B647" s="145"/>
      <c r="C647" s="145"/>
      <c r="S647" s="97"/>
      <c r="T647" s="97"/>
    </row>
    <row r="648">
      <c r="B648" s="145"/>
      <c r="C648" s="145"/>
      <c r="S648" s="97"/>
      <c r="T648" s="97"/>
    </row>
    <row r="649">
      <c r="B649" s="145"/>
      <c r="C649" s="145"/>
      <c r="S649" s="97"/>
      <c r="T649" s="97"/>
    </row>
    <row r="650">
      <c r="B650" s="145"/>
      <c r="C650" s="145"/>
      <c r="S650" s="97"/>
      <c r="T650" s="97"/>
    </row>
    <row r="651">
      <c r="B651" s="145"/>
      <c r="C651" s="145"/>
      <c r="S651" s="97"/>
      <c r="T651" s="97"/>
    </row>
    <row r="652">
      <c r="B652" s="145"/>
      <c r="C652" s="145"/>
      <c r="S652" s="97"/>
      <c r="T652" s="97"/>
    </row>
    <row r="653">
      <c r="B653" s="145"/>
      <c r="C653" s="145"/>
      <c r="S653" s="97"/>
      <c r="T653" s="97"/>
    </row>
    <row r="654">
      <c r="B654" s="145"/>
      <c r="C654" s="145"/>
      <c r="S654" s="97"/>
      <c r="T654" s="97"/>
    </row>
    <row r="655">
      <c r="B655" s="145"/>
      <c r="C655" s="145"/>
      <c r="S655" s="97"/>
      <c r="T655" s="97"/>
    </row>
    <row r="656">
      <c r="B656" s="145"/>
      <c r="C656" s="145"/>
      <c r="S656" s="97"/>
      <c r="T656" s="97"/>
    </row>
    <row r="657">
      <c r="B657" s="145"/>
      <c r="C657" s="145"/>
      <c r="S657" s="97"/>
      <c r="T657" s="97"/>
    </row>
    <row r="658">
      <c r="B658" s="145"/>
      <c r="C658" s="145"/>
      <c r="S658" s="97"/>
      <c r="T658" s="97"/>
    </row>
    <row r="659">
      <c r="B659" s="145"/>
      <c r="C659" s="145"/>
      <c r="S659" s="97"/>
      <c r="T659" s="97"/>
    </row>
    <row r="660">
      <c r="B660" s="145"/>
      <c r="C660" s="145"/>
      <c r="S660" s="97"/>
      <c r="T660" s="97"/>
    </row>
    <row r="661">
      <c r="B661" s="145"/>
      <c r="C661" s="145"/>
      <c r="S661" s="97"/>
      <c r="T661" s="97"/>
    </row>
    <row r="662">
      <c r="B662" s="145"/>
      <c r="C662" s="145"/>
      <c r="S662" s="97"/>
      <c r="T662" s="97"/>
    </row>
    <row r="663">
      <c r="B663" s="145"/>
      <c r="C663" s="145"/>
      <c r="S663" s="97"/>
      <c r="T663" s="97"/>
    </row>
    <row r="664">
      <c r="B664" s="145"/>
      <c r="C664" s="145"/>
      <c r="S664" s="97"/>
      <c r="T664" s="97"/>
    </row>
    <row r="665">
      <c r="B665" s="145"/>
      <c r="C665" s="145"/>
      <c r="S665" s="97"/>
      <c r="T665" s="97"/>
    </row>
    <row r="666">
      <c r="B666" s="145"/>
      <c r="C666" s="145"/>
      <c r="S666" s="97"/>
      <c r="T666" s="97"/>
    </row>
    <row r="667">
      <c r="B667" s="145"/>
      <c r="C667" s="145"/>
      <c r="S667" s="97"/>
      <c r="T667" s="97"/>
    </row>
    <row r="668">
      <c r="B668" s="145"/>
      <c r="C668" s="145"/>
      <c r="S668" s="97"/>
      <c r="T668" s="97"/>
    </row>
    <row r="669">
      <c r="B669" s="145"/>
      <c r="C669" s="145"/>
      <c r="S669" s="97"/>
      <c r="T669" s="97"/>
    </row>
    <row r="670">
      <c r="B670" s="145"/>
      <c r="C670" s="145"/>
      <c r="S670" s="97"/>
      <c r="T670" s="97"/>
    </row>
    <row r="671">
      <c r="B671" s="145"/>
      <c r="C671" s="145"/>
      <c r="S671" s="97"/>
      <c r="T671" s="97"/>
    </row>
    <row r="672">
      <c r="B672" s="145"/>
      <c r="C672" s="145"/>
      <c r="S672" s="97"/>
      <c r="T672" s="97"/>
    </row>
    <row r="673">
      <c r="B673" s="145"/>
      <c r="C673" s="145"/>
      <c r="S673" s="97"/>
      <c r="T673" s="97"/>
    </row>
    <row r="674">
      <c r="B674" s="145"/>
      <c r="C674" s="145"/>
      <c r="S674" s="97"/>
      <c r="T674" s="97"/>
    </row>
    <row r="675">
      <c r="B675" s="145"/>
      <c r="C675" s="145"/>
      <c r="S675" s="97"/>
      <c r="T675" s="97"/>
    </row>
    <row r="676">
      <c r="B676" s="145"/>
      <c r="C676" s="145"/>
      <c r="S676" s="97"/>
      <c r="T676" s="97"/>
    </row>
    <row r="677">
      <c r="B677" s="145"/>
      <c r="C677" s="145"/>
      <c r="S677" s="97"/>
      <c r="T677" s="97"/>
    </row>
    <row r="678">
      <c r="B678" s="145"/>
      <c r="C678" s="145"/>
      <c r="S678" s="97"/>
      <c r="T678" s="97"/>
    </row>
    <row r="679">
      <c r="B679" s="145"/>
      <c r="C679" s="145"/>
      <c r="S679" s="97"/>
      <c r="T679" s="97"/>
    </row>
    <row r="680">
      <c r="B680" s="145"/>
      <c r="C680" s="145"/>
      <c r="S680" s="97"/>
      <c r="T680" s="97"/>
    </row>
    <row r="681">
      <c r="B681" s="145"/>
      <c r="C681" s="145"/>
      <c r="S681" s="97"/>
      <c r="T681" s="97"/>
    </row>
    <row r="682">
      <c r="B682" s="145"/>
      <c r="C682" s="145"/>
      <c r="S682" s="97"/>
      <c r="T682" s="97"/>
    </row>
    <row r="683">
      <c r="B683" s="145"/>
      <c r="C683" s="145"/>
      <c r="S683" s="97"/>
      <c r="T683" s="97"/>
    </row>
    <row r="684">
      <c r="B684" s="145"/>
      <c r="C684" s="145"/>
      <c r="S684" s="97"/>
      <c r="T684" s="97"/>
    </row>
    <row r="685">
      <c r="B685" s="145"/>
      <c r="C685" s="145"/>
      <c r="S685" s="97"/>
      <c r="T685" s="97"/>
    </row>
    <row r="686">
      <c r="B686" s="145"/>
      <c r="C686" s="145"/>
      <c r="S686" s="97"/>
      <c r="T686" s="97"/>
    </row>
    <row r="687">
      <c r="B687" s="145"/>
      <c r="C687" s="145"/>
      <c r="S687" s="97"/>
      <c r="T687" s="97"/>
    </row>
    <row r="688">
      <c r="B688" s="145"/>
      <c r="C688" s="145"/>
      <c r="S688" s="97"/>
      <c r="T688" s="97"/>
    </row>
    <row r="689">
      <c r="B689" s="145"/>
      <c r="C689" s="145"/>
      <c r="S689" s="97"/>
      <c r="T689" s="97"/>
    </row>
    <row r="690">
      <c r="B690" s="145"/>
      <c r="C690" s="145"/>
      <c r="S690" s="97"/>
      <c r="T690" s="97"/>
    </row>
    <row r="691">
      <c r="B691" s="145"/>
      <c r="C691" s="145"/>
      <c r="S691" s="97"/>
      <c r="T691" s="97"/>
    </row>
    <row r="692">
      <c r="B692" s="145"/>
      <c r="C692" s="145"/>
      <c r="S692" s="97"/>
      <c r="T692" s="97"/>
    </row>
    <row r="693">
      <c r="B693" s="145"/>
      <c r="C693" s="145"/>
      <c r="S693" s="97"/>
      <c r="T693" s="97"/>
    </row>
    <row r="694">
      <c r="B694" s="145"/>
      <c r="C694" s="145"/>
      <c r="S694" s="97"/>
      <c r="T694" s="97"/>
    </row>
    <row r="695">
      <c r="B695" s="145"/>
      <c r="C695" s="145"/>
      <c r="S695" s="97"/>
      <c r="T695" s="97"/>
    </row>
    <row r="696">
      <c r="B696" s="145"/>
      <c r="C696" s="145"/>
      <c r="S696" s="97"/>
      <c r="T696" s="97"/>
    </row>
    <row r="697">
      <c r="B697" s="145"/>
      <c r="C697" s="145"/>
      <c r="S697" s="97"/>
      <c r="T697" s="97"/>
    </row>
    <row r="698">
      <c r="B698" s="145"/>
      <c r="C698" s="145"/>
      <c r="S698" s="97"/>
      <c r="T698" s="97"/>
    </row>
    <row r="699">
      <c r="B699" s="145"/>
      <c r="C699" s="145"/>
      <c r="S699" s="97"/>
      <c r="T699" s="97"/>
    </row>
    <row r="700">
      <c r="B700" s="145"/>
      <c r="C700" s="145"/>
      <c r="S700" s="97"/>
      <c r="T700" s="97"/>
    </row>
    <row r="701">
      <c r="B701" s="145"/>
      <c r="C701" s="145"/>
      <c r="S701" s="97"/>
      <c r="T701" s="97"/>
    </row>
    <row r="702">
      <c r="B702" s="145"/>
      <c r="C702" s="145"/>
      <c r="S702" s="97"/>
      <c r="T702" s="97"/>
    </row>
    <row r="703">
      <c r="B703" s="145"/>
      <c r="C703" s="145"/>
      <c r="S703" s="97"/>
      <c r="T703" s="97"/>
    </row>
    <row r="704">
      <c r="B704" s="145"/>
      <c r="C704" s="145"/>
      <c r="S704" s="97"/>
      <c r="T704" s="97"/>
    </row>
    <row r="705">
      <c r="B705" s="145"/>
      <c r="C705" s="145"/>
      <c r="S705" s="97"/>
      <c r="T705" s="97"/>
    </row>
    <row r="706">
      <c r="B706" s="145"/>
      <c r="C706" s="145"/>
      <c r="S706" s="97"/>
      <c r="T706" s="97"/>
    </row>
    <row r="707">
      <c r="B707" s="145"/>
      <c r="C707" s="145"/>
      <c r="S707" s="97"/>
      <c r="T707" s="97"/>
    </row>
    <row r="708">
      <c r="B708" s="145"/>
      <c r="C708" s="145"/>
      <c r="S708" s="97"/>
      <c r="T708" s="97"/>
    </row>
    <row r="709">
      <c r="B709" s="145"/>
      <c r="C709" s="145"/>
      <c r="S709" s="97"/>
      <c r="T709" s="97"/>
    </row>
    <row r="710">
      <c r="B710" s="145"/>
      <c r="C710" s="145"/>
      <c r="S710" s="97"/>
      <c r="T710" s="97"/>
    </row>
    <row r="711">
      <c r="B711" s="145"/>
      <c r="C711" s="145"/>
      <c r="S711" s="97"/>
      <c r="T711" s="97"/>
    </row>
    <row r="712">
      <c r="B712" s="145"/>
      <c r="C712" s="145"/>
      <c r="S712" s="97"/>
      <c r="T712" s="97"/>
    </row>
    <row r="713">
      <c r="B713" s="145"/>
      <c r="C713" s="145"/>
      <c r="S713" s="97"/>
      <c r="T713" s="97"/>
    </row>
    <row r="714">
      <c r="B714" s="145"/>
      <c r="C714" s="145"/>
      <c r="S714" s="97"/>
      <c r="T714" s="97"/>
    </row>
    <row r="715">
      <c r="B715" s="145"/>
      <c r="C715" s="145"/>
      <c r="S715" s="97"/>
      <c r="T715" s="97"/>
    </row>
    <row r="716">
      <c r="B716" s="145"/>
      <c r="C716" s="145"/>
      <c r="S716" s="97"/>
      <c r="T716" s="97"/>
    </row>
    <row r="717">
      <c r="B717" s="145"/>
      <c r="C717" s="145"/>
      <c r="S717" s="97"/>
      <c r="T717" s="97"/>
    </row>
    <row r="718">
      <c r="B718" s="145"/>
      <c r="C718" s="145"/>
      <c r="S718" s="97"/>
      <c r="T718" s="97"/>
    </row>
    <row r="719">
      <c r="B719" s="145"/>
      <c r="C719" s="145"/>
      <c r="S719" s="97"/>
      <c r="T719" s="97"/>
    </row>
    <row r="720">
      <c r="B720" s="145"/>
      <c r="C720" s="145"/>
      <c r="S720" s="97"/>
      <c r="T720" s="97"/>
    </row>
    <row r="721">
      <c r="B721" s="145"/>
      <c r="C721" s="145"/>
      <c r="S721" s="97"/>
      <c r="T721" s="97"/>
    </row>
    <row r="722">
      <c r="B722" s="145"/>
      <c r="C722" s="145"/>
      <c r="S722" s="97"/>
      <c r="T722" s="97"/>
    </row>
    <row r="723">
      <c r="B723" s="145"/>
      <c r="C723" s="145"/>
      <c r="S723" s="97"/>
      <c r="T723" s="97"/>
    </row>
    <row r="724">
      <c r="B724" s="145"/>
      <c r="C724" s="145"/>
      <c r="S724" s="97"/>
      <c r="T724" s="97"/>
    </row>
    <row r="725">
      <c r="B725" s="145"/>
      <c r="C725" s="145"/>
      <c r="S725" s="97"/>
      <c r="T725" s="97"/>
    </row>
    <row r="726">
      <c r="B726" s="145"/>
      <c r="C726" s="145"/>
      <c r="S726" s="97"/>
      <c r="T726" s="97"/>
    </row>
    <row r="727">
      <c r="B727" s="145"/>
      <c r="C727" s="145"/>
      <c r="S727" s="97"/>
      <c r="T727" s="97"/>
    </row>
    <row r="728">
      <c r="B728" s="145"/>
      <c r="C728" s="145"/>
      <c r="S728" s="97"/>
      <c r="T728" s="97"/>
    </row>
    <row r="729">
      <c r="B729" s="145"/>
      <c r="C729" s="145"/>
      <c r="S729" s="97"/>
      <c r="T729" s="97"/>
    </row>
    <row r="730">
      <c r="B730" s="145"/>
      <c r="C730" s="145"/>
      <c r="S730" s="97"/>
      <c r="T730" s="97"/>
    </row>
    <row r="731">
      <c r="B731" s="145"/>
      <c r="C731" s="145"/>
      <c r="S731" s="97"/>
      <c r="T731" s="97"/>
    </row>
    <row r="732">
      <c r="B732" s="145"/>
      <c r="C732" s="145"/>
      <c r="S732" s="97"/>
      <c r="T732" s="97"/>
    </row>
    <row r="733">
      <c r="B733" s="145"/>
      <c r="C733" s="145"/>
      <c r="S733" s="97"/>
      <c r="T733" s="97"/>
    </row>
    <row r="734">
      <c r="B734" s="145"/>
      <c r="C734" s="145"/>
      <c r="S734" s="97"/>
      <c r="T734" s="97"/>
    </row>
    <row r="735">
      <c r="B735" s="145"/>
      <c r="C735" s="145"/>
      <c r="S735" s="97"/>
      <c r="T735" s="97"/>
    </row>
    <row r="736">
      <c r="B736" s="145"/>
      <c r="C736" s="145"/>
      <c r="S736" s="97"/>
      <c r="T736" s="97"/>
    </row>
    <row r="737">
      <c r="B737" s="145"/>
      <c r="C737" s="145"/>
      <c r="S737" s="97"/>
      <c r="T737" s="97"/>
    </row>
    <row r="738">
      <c r="B738" s="145"/>
      <c r="C738" s="145"/>
      <c r="S738" s="97"/>
      <c r="T738" s="97"/>
    </row>
    <row r="739">
      <c r="B739" s="145"/>
      <c r="C739" s="145"/>
      <c r="S739" s="97"/>
      <c r="T739" s="97"/>
    </row>
    <row r="740">
      <c r="B740" s="145"/>
      <c r="C740" s="145"/>
      <c r="S740" s="97"/>
      <c r="T740" s="97"/>
    </row>
    <row r="741">
      <c r="B741" s="145"/>
      <c r="C741" s="145"/>
      <c r="S741" s="97"/>
      <c r="T741" s="97"/>
    </row>
    <row r="742">
      <c r="B742" s="145"/>
      <c r="C742" s="145"/>
      <c r="S742" s="97"/>
      <c r="T742" s="97"/>
    </row>
    <row r="743">
      <c r="B743" s="145"/>
      <c r="C743" s="145"/>
      <c r="S743" s="97"/>
      <c r="T743" s="97"/>
    </row>
    <row r="744">
      <c r="B744" s="145"/>
      <c r="C744" s="145"/>
      <c r="S744" s="97"/>
      <c r="T744" s="97"/>
    </row>
    <row r="745">
      <c r="B745" s="145"/>
      <c r="C745" s="145"/>
      <c r="S745" s="97"/>
      <c r="T745" s="97"/>
    </row>
    <row r="746">
      <c r="B746" s="145"/>
      <c r="C746" s="145"/>
      <c r="S746" s="97"/>
      <c r="T746" s="97"/>
    </row>
    <row r="747">
      <c r="B747" s="145"/>
      <c r="C747" s="145"/>
      <c r="S747" s="97"/>
      <c r="T747" s="97"/>
    </row>
    <row r="748">
      <c r="B748" s="145"/>
      <c r="C748" s="145"/>
      <c r="S748" s="97"/>
      <c r="T748" s="97"/>
    </row>
    <row r="749">
      <c r="B749" s="145"/>
      <c r="C749" s="145"/>
      <c r="S749" s="97"/>
      <c r="T749" s="97"/>
    </row>
    <row r="750">
      <c r="B750" s="145"/>
      <c r="C750" s="145"/>
      <c r="S750" s="97"/>
      <c r="T750" s="97"/>
    </row>
    <row r="751">
      <c r="B751" s="145"/>
      <c r="C751" s="145"/>
      <c r="S751" s="97"/>
      <c r="T751" s="97"/>
    </row>
    <row r="752">
      <c r="B752" s="145"/>
      <c r="C752" s="145"/>
      <c r="S752" s="97"/>
      <c r="T752" s="97"/>
    </row>
    <row r="753">
      <c r="B753" s="145"/>
      <c r="C753" s="145"/>
      <c r="S753" s="97"/>
      <c r="T753" s="97"/>
    </row>
    <row r="754">
      <c r="B754" s="145"/>
      <c r="C754" s="145"/>
      <c r="S754" s="97"/>
      <c r="T754" s="97"/>
    </row>
    <row r="755">
      <c r="B755" s="145"/>
      <c r="C755" s="145"/>
      <c r="S755" s="97"/>
      <c r="T755" s="97"/>
    </row>
    <row r="756">
      <c r="B756" s="145"/>
      <c r="C756" s="145"/>
      <c r="S756" s="97"/>
      <c r="T756" s="97"/>
    </row>
    <row r="757">
      <c r="B757" s="145"/>
      <c r="C757" s="145"/>
      <c r="S757" s="97"/>
      <c r="T757" s="97"/>
    </row>
    <row r="758">
      <c r="B758" s="145"/>
      <c r="C758" s="145"/>
      <c r="S758" s="97"/>
      <c r="T758" s="97"/>
    </row>
    <row r="759">
      <c r="B759" s="145"/>
      <c r="C759" s="145"/>
      <c r="S759" s="97"/>
      <c r="T759" s="97"/>
    </row>
    <row r="760">
      <c r="B760" s="145"/>
      <c r="C760" s="145"/>
      <c r="S760" s="97"/>
      <c r="T760" s="97"/>
    </row>
    <row r="761">
      <c r="B761" s="145"/>
      <c r="C761" s="145"/>
      <c r="S761" s="97"/>
      <c r="T761" s="97"/>
    </row>
    <row r="762">
      <c r="B762" s="145"/>
      <c r="C762" s="145"/>
      <c r="S762" s="97"/>
      <c r="T762" s="97"/>
    </row>
    <row r="763">
      <c r="B763" s="145"/>
      <c r="C763" s="145"/>
      <c r="S763" s="97"/>
      <c r="T763" s="97"/>
    </row>
    <row r="764">
      <c r="B764" s="145"/>
      <c r="C764" s="145"/>
      <c r="S764" s="97"/>
      <c r="T764" s="97"/>
    </row>
    <row r="765">
      <c r="B765" s="145"/>
      <c r="C765" s="145"/>
      <c r="S765" s="97"/>
      <c r="T765" s="97"/>
    </row>
    <row r="766">
      <c r="B766" s="145"/>
      <c r="C766" s="145"/>
      <c r="S766" s="97"/>
      <c r="T766" s="97"/>
    </row>
    <row r="767">
      <c r="B767" s="145"/>
      <c r="C767" s="145"/>
      <c r="S767" s="97"/>
      <c r="T767" s="97"/>
    </row>
    <row r="768">
      <c r="B768" s="145"/>
      <c r="C768" s="145"/>
      <c r="S768" s="97"/>
      <c r="T768" s="97"/>
    </row>
    <row r="769">
      <c r="B769" s="145"/>
      <c r="C769" s="145"/>
      <c r="S769" s="97"/>
      <c r="T769" s="97"/>
    </row>
    <row r="770">
      <c r="B770" s="145"/>
      <c r="C770" s="145"/>
      <c r="S770" s="97"/>
      <c r="T770" s="97"/>
    </row>
    <row r="771">
      <c r="B771" s="145"/>
      <c r="C771" s="145"/>
      <c r="S771" s="97"/>
      <c r="T771" s="97"/>
    </row>
    <row r="772">
      <c r="B772" s="145"/>
      <c r="C772" s="145"/>
      <c r="S772" s="97"/>
      <c r="T772" s="97"/>
    </row>
    <row r="773">
      <c r="B773" s="145"/>
      <c r="C773" s="145"/>
      <c r="S773" s="97"/>
      <c r="T773" s="97"/>
    </row>
    <row r="774">
      <c r="B774" s="145"/>
      <c r="C774" s="145"/>
      <c r="S774" s="97"/>
      <c r="T774" s="97"/>
    </row>
    <row r="775">
      <c r="B775" s="145"/>
      <c r="C775" s="145"/>
      <c r="S775" s="97"/>
      <c r="T775" s="97"/>
    </row>
    <row r="776">
      <c r="B776" s="145"/>
      <c r="C776" s="145"/>
      <c r="S776" s="97"/>
      <c r="T776" s="97"/>
    </row>
    <row r="777">
      <c r="B777" s="145"/>
      <c r="C777" s="145"/>
      <c r="S777" s="97"/>
      <c r="T777" s="97"/>
    </row>
    <row r="778">
      <c r="B778" s="145"/>
      <c r="C778" s="145"/>
      <c r="S778" s="97"/>
      <c r="T778" s="97"/>
    </row>
    <row r="779">
      <c r="B779" s="145"/>
      <c r="C779" s="145"/>
      <c r="S779" s="97"/>
      <c r="T779" s="97"/>
    </row>
    <row r="780">
      <c r="B780" s="145"/>
      <c r="C780" s="145"/>
      <c r="S780" s="97"/>
      <c r="T780" s="97"/>
    </row>
    <row r="781">
      <c r="B781" s="145"/>
      <c r="C781" s="145"/>
      <c r="S781" s="97"/>
      <c r="T781" s="97"/>
    </row>
    <row r="782">
      <c r="B782" s="145"/>
      <c r="C782" s="145"/>
      <c r="S782" s="97"/>
      <c r="T782" s="97"/>
    </row>
    <row r="783">
      <c r="B783" s="145"/>
      <c r="C783" s="145"/>
      <c r="S783" s="97"/>
      <c r="T783" s="97"/>
    </row>
    <row r="784">
      <c r="B784" s="145"/>
      <c r="C784" s="145"/>
      <c r="S784" s="97"/>
      <c r="T784" s="97"/>
    </row>
    <row r="785">
      <c r="B785" s="145"/>
      <c r="C785" s="145"/>
      <c r="S785" s="97"/>
      <c r="T785" s="97"/>
    </row>
    <row r="786">
      <c r="B786" s="145"/>
      <c r="C786" s="145"/>
      <c r="S786" s="97"/>
      <c r="T786" s="97"/>
    </row>
    <row r="787">
      <c r="B787" s="145"/>
      <c r="C787" s="145"/>
      <c r="S787" s="97"/>
      <c r="T787" s="97"/>
    </row>
    <row r="788">
      <c r="B788" s="145"/>
      <c r="C788" s="145"/>
      <c r="S788" s="97"/>
      <c r="T788" s="97"/>
    </row>
    <row r="789">
      <c r="B789" s="145"/>
      <c r="C789" s="145"/>
      <c r="S789" s="97"/>
      <c r="T789" s="97"/>
    </row>
    <row r="790">
      <c r="B790" s="145"/>
      <c r="C790" s="145"/>
      <c r="S790" s="97"/>
      <c r="T790" s="97"/>
    </row>
    <row r="791">
      <c r="B791" s="145"/>
      <c r="C791" s="145"/>
      <c r="S791" s="97"/>
      <c r="T791" s="97"/>
    </row>
    <row r="792">
      <c r="B792" s="145"/>
      <c r="C792" s="145"/>
      <c r="S792" s="97"/>
      <c r="T792" s="97"/>
    </row>
    <row r="793">
      <c r="B793" s="145"/>
      <c r="C793" s="145"/>
      <c r="S793" s="97"/>
      <c r="T793" s="97"/>
    </row>
    <row r="794">
      <c r="B794" s="145"/>
      <c r="C794" s="145"/>
      <c r="S794" s="97"/>
      <c r="T794" s="97"/>
    </row>
    <row r="795">
      <c r="B795" s="145"/>
      <c r="C795" s="145"/>
      <c r="S795" s="97"/>
      <c r="T795" s="97"/>
    </row>
    <row r="796">
      <c r="B796" s="145"/>
      <c r="C796" s="145"/>
      <c r="S796" s="97"/>
      <c r="T796" s="97"/>
    </row>
    <row r="797">
      <c r="B797" s="145"/>
      <c r="C797" s="145"/>
      <c r="S797" s="97"/>
      <c r="T797" s="97"/>
    </row>
    <row r="798">
      <c r="B798" s="145"/>
      <c r="C798" s="145"/>
      <c r="S798" s="97"/>
      <c r="T798" s="97"/>
    </row>
    <row r="799">
      <c r="B799" s="145"/>
      <c r="C799" s="145"/>
      <c r="S799" s="97"/>
      <c r="T799" s="97"/>
    </row>
    <row r="800">
      <c r="B800" s="145"/>
      <c r="C800" s="145"/>
      <c r="S800" s="97"/>
      <c r="T800" s="97"/>
    </row>
    <row r="801">
      <c r="B801" s="145"/>
      <c r="C801" s="145"/>
      <c r="S801" s="97"/>
      <c r="T801" s="97"/>
    </row>
    <row r="802">
      <c r="B802" s="145"/>
      <c r="C802" s="145"/>
      <c r="S802" s="97"/>
      <c r="T802" s="97"/>
    </row>
    <row r="803">
      <c r="B803" s="145"/>
      <c r="C803" s="145"/>
      <c r="S803" s="97"/>
      <c r="T803" s="97"/>
    </row>
    <row r="804">
      <c r="B804" s="145"/>
      <c r="C804" s="145"/>
      <c r="S804" s="97"/>
      <c r="T804" s="97"/>
    </row>
    <row r="805">
      <c r="B805" s="145"/>
      <c r="C805" s="145"/>
      <c r="S805" s="97"/>
      <c r="T805" s="97"/>
    </row>
    <row r="806">
      <c r="B806" s="145"/>
      <c r="C806" s="145"/>
      <c r="S806" s="97"/>
      <c r="T806" s="97"/>
    </row>
    <row r="807">
      <c r="B807" s="145"/>
      <c r="C807" s="145"/>
      <c r="S807" s="97"/>
      <c r="T807" s="97"/>
    </row>
    <row r="808">
      <c r="B808" s="145"/>
      <c r="C808" s="145"/>
      <c r="S808" s="97"/>
      <c r="T808" s="97"/>
    </row>
    <row r="809">
      <c r="B809" s="145"/>
      <c r="C809" s="145"/>
      <c r="S809" s="97"/>
      <c r="T809" s="97"/>
    </row>
    <row r="810">
      <c r="B810" s="145"/>
      <c r="C810" s="145"/>
      <c r="S810" s="97"/>
      <c r="T810" s="97"/>
    </row>
    <row r="811">
      <c r="B811" s="145"/>
      <c r="C811" s="145"/>
      <c r="S811" s="97"/>
      <c r="T811" s="97"/>
    </row>
    <row r="812">
      <c r="B812" s="145"/>
      <c r="C812" s="145"/>
      <c r="S812" s="97"/>
      <c r="T812" s="97"/>
    </row>
    <row r="813">
      <c r="B813" s="145"/>
      <c r="C813" s="145"/>
      <c r="S813" s="97"/>
      <c r="T813" s="97"/>
    </row>
    <row r="814">
      <c r="B814" s="145"/>
      <c r="C814" s="145"/>
      <c r="S814" s="97"/>
      <c r="T814" s="97"/>
    </row>
    <row r="815">
      <c r="B815" s="145"/>
      <c r="C815" s="145"/>
      <c r="S815" s="97"/>
      <c r="T815" s="97"/>
    </row>
    <row r="816">
      <c r="B816" s="145"/>
      <c r="C816" s="145"/>
      <c r="S816" s="97"/>
      <c r="T816" s="97"/>
    </row>
    <row r="817">
      <c r="B817" s="145"/>
      <c r="C817" s="145"/>
      <c r="S817" s="97"/>
      <c r="T817" s="97"/>
    </row>
    <row r="818">
      <c r="B818" s="145"/>
      <c r="C818" s="145"/>
      <c r="S818" s="97"/>
      <c r="T818" s="97"/>
    </row>
    <row r="819">
      <c r="B819" s="145"/>
      <c r="C819" s="145"/>
      <c r="S819" s="97"/>
      <c r="T819" s="97"/>
    </row>
    <row r="820">
      <c r="B820" s="145"/>
      <c r="C820" s="145"/>
      <c r="S820" s="97"/>
      <c r="T820" s="97"/>
    </row>
    <row r="821">
      <c r="B821" s="145"/>
      <c r="C821" s="145"/>
      <c r="S821" s="97"/>
      <c r="T821" s="97"/>
    </row>
    <row r="822">
      <c r="B822" s="145"/>
      <c r="C822" s="145"/>
      <c r="S822" s="97"/>
      <c r="T822" s="97"/>
    </row>
    <row r="823">
      <c r="B823" s="145"/>
      <c r="C823" s="145"/>
      <c r="S823" s="97"/>
      <c r="T823" s="97"/>
    </row>
    <row r="824">
      <c r="B824" s="145"/>
      <c r="C824" s="145"/>
      <c r="S824" s="97"/>
      <c r="T824" s="97"/>
    </row>
    <row r="825">
      <c r="B825" s="145"/>
      <c r="C825" s="145"/>
      <c r="S825" s="97"/>
      <c r="T825" s="97"/>
    </row>
    <row r="826">
      <c r="B826" s="145"/>
      <c r="C826" s="145"/>
      <c r="S826" s="97"/>
      <c r="T826" s="97"/>
    </row>
    <row r="827">
      <c r="B827" s="145"/>
      <c r="C827" s="145"/>
      <c r="S827" s="97"/>
      <c r="T827" s="97"/>
    </row>
    <row r="828">
      <c r="B828" s="145"/>
      <c r="C828" s="145"/>
      <c r="S828" s="97"/>
      <c r="T828" s="97"/>
    </row>
    <row r="829">
      <c r="B829" s="145"/>
      <c r="C829" s="145"/>
      <c r="S829" s="97"/>
      <c r="T829" s="97"/>
    </row>
    <row r="830">
      <c r="B830" s="145"/>
      <c r="C830" s="145"/>
      <c r="S830" s="97"/>
      <c r="T830" s="97"/>
    </row>
    <row r="831">
      <c r="B831" s="145"/>
      <c r="C831" s="145"/>
      <c r="S831" s="97"/>
      <c r="T831" s="97"/>
    </row>
    <row r="832">
      <c r="B832" s="145"/>
      <c r="C832" s="145"/>
      <c r="S832" s="97"/>
      <c r="T832" s="97"/>
    </row>
    <row r="833">
      <c r="B833" s="145"/>
      <c r="C833" s="145"/>
      <c r="S833" s="97"/>
      <c r="T833" s="97"/>
    </row>
    <row r="834">
      <c r="B834" s="145"/>
      <c r="C834" s="145"/>
      <c r="S834" s="97"/>
      <c r="T834" s="97"/>
    </row>
    <row r="835">
      <c r="B835" s="145"/>
      <c r="C835" s="145"/>
      <c r="S835" s="97"/>
      <c r="T835" s="97"/>
    </row>
    <row r="836">
      <c r="B836" s="145"/>
      <c r="C836" s="145"/>
      <c r="S836" s="97"/>
      <c r="T836" s="97"/>
    </row>
    <row r="837">
      <c r="B837" s="145"/>
      <c r="C837" s="145"/>
      <c r="S837" s="97"/>
      <c r="T837" s="97"/>
    </row>
    <row r="838">
      <c r="B838" s="145"/>
      <c r="C838" s="145"/>
      <c r="S838" s="97"/>
      <c r="T838" s="97"/>
    </row>
    <row r="839">
      <c r="B839" s="145"/>
      <c r="C839" s="145"/>
      <c r="S839" s="97"/>
      <c r="T839" s="97"/>
    </row>
    <row r="840">
      <c r="B840" s="145"/>
      <c r="C840" s="145"/>
      <c r="S840" s="97"/>
      <c r="T840" s="97"/>
    </row>
    <row r="841">
      <c r="B841" s="145"/>
      <c r="C841" s="145"/>
      <c r="S841" s="97"/>
      <c r="T841" s="97"/>
    </row>
    <row r="842">
      <c r="B842" s="145"/>
      <c r="C842" s="145"/>
      <c r="S842" s="97"/>
      <c r="T842" s="97"/>
    </row>
    <row r="843">
      <c r="B843" s="145"/>
      <c r="C843" s="145"/>
      <c r="S843" s="97"/>
      <c r="T843" s="97"/>
    </row>
    <row r="844">
      <c r="B844" s="145"/>
      <c r="C844" s="145"/>
      <c r="S844" s="97"/>
      <c r="T844" s="97"/>
    </row>
    <row r="845">
      <c r="B845" s="145"/>
      <c r="C845" s="145"/>
      <c r="S845" s="97"/>
      <c r="T845" s="97"/>
    </row>
    <row r="846">
      <c r="B846" s="145"/>
      <c r="C846" s="145"/>
      <c r="S846" s="97"/>
      <c r="T846" s="97"/>
    </row>
    <row r="847">
      <c r="B847" s="145"/>
      <c r="C847" s="145"/>
      <c r="S847" s="97"/>
      <c r="T847" s="97"/>
    </row>
    <row r="848">
      <c r="B848" s="145"/>
      <c r="C848" s="145"/>
      <c r="S848" s="97"/>
      <c r="T848" s="97"/>
    </row>
    <row r="849">
      <c r="B849" s="145"/>
      <c r="C849" s="145"/>
      <c r="S849" s="97"/>
      <c r="T849" s="97"/>
    </row>
    <row r="850">
      <c r="B850" s="145"/>
      <c r="C850" s="145"/>
      <c r="S850" s="97"/>
      <c r="T850" s="97"/>
    </row>
    <row r="851">
      <c r="B851" s="145"/>
      <c r="C851" s="145"/>
      <c r="S851" s="97"/>
      <c r="T851" s="97"/>
    </row>
    <row r="852">
      <c r="B852" s="145"/>
      <c r="C852" s="145"/>
      <c r="S852" s="97"/>
      <c r="T852" s="97"/>
    </row>
    <row r="853">
      <c r="B853" s="145"/>
      <c r="C853" s="145"/>
      <c r="S853" s="97"/>
      <c r="T853" s="97"/>
    </row>
    <row r="854">
      <c r="B854" s="145"/>
      <c r="C854" s="145"/>
      <c r="S854" s="97"/>
      <c r="T854" s="97"/>
    </row>
    <row r="855">
      <c r="B855" s="145"/>
      <c r="C855" s="145"/>
      <c r="S855" s="97"/>
      <c r="T855" s="97"/>
    </row>
    <row r="856">
      <c r="B856" s="145"/>
      <c r="C856" s="145"/>
      <c r="S856" s="97"/>
      <c r="T856" s="97"/>
    </row>
    <row r="857">
      <c r="B857" s="145"/>
      <c r="C857" s="145"/>
      <c r="S857" s="97"/>
      <c r="T857" s="97"/>
    </row>
    <row r="858">
      <c r="B858" s="145"/>
      <c r="C858" s="145"/>
      <c r="S858" s="97"/>
      <c r="T858" s="97"/>
    </row>
    <row r="859">
      <c r="B859" s="145"/>
      <c r="C859" s="145"/>
      <c r="S859" s="97"/>
      <c r="T859" s="97"/>
    </row>
    <row r="860">
      <c r="B860" s="145"/>
      <c r="C860" s="145"/>
      <c r="S860" s="97"/>
      <c r="T860" s="97"/>
    </row>
    <row r="861">
      <c r="B861" s="145"/>
      <c r="C861" s="145"/>
      <c r="S861" s="97"/>
      <c r="T861" s="97"/>
    </row>
    <row r="862">
      <c r="B862" s="145"/>
      <c r="C862" s="145"/>
      <c r="S862" s="97"/>
      <c r="T862" s="97"/>
    </row>
    <row r="863">
      <c r="B863" s="145"/>
      <c r="C863" s="145"/>
      <c r="S863" s="97"/>
      <c r="T863" s="97"/>
    </row>
    <row r="864">
      <c r="B864" s="145"/>
      <c r="C864" s="145"/>
      <c r="S864" s="97"/>
      <c r="T864" s="97"/>
    </row>
    <row r="865">
      <c r="B865" s="145"/>
      <c r="C865" s="145"/>
      <c r="S865" s="97"/>
      <c r="T865" s="97"/>
    </row>
    <row r="866">
      <c r="B866" s="145"/>
      <c r="C866" s="145"/>
      <c r="S866" s="97"/>
      <c r="T866" s="97"/>
    </row>
    <row r="867">
      <c r="B867" s="145"/>
      <c r="C867" s="145"/>
      <c r="S867" s="97"/>
      <c r="T867" s="97"/>
    </row>
    <row r="868">
      <c r="B868" s="145"/>
      <c r="C868" s="145"/>
      <c r="S868" s="97"/>
      <c r="T868" s="97"/>
    </row>
    <row r="869">
      <c r="B869" s="145"/>
      <c r="C869" s="145"/>
      <c r="S869" s="97"/>
      <c r="T869" s="97"/>
    </row>
    <row r="870">
      <c r="B870" s="145"/>
      <c r="C870" s="145"/>
      <c r="S870" s="97"/>
      <c r="T870" s="97"/>
    </row>
    <row r="871">
      <c r="B871" s="145"/>
      <c r="C871" s="145"/>
      <c r="S871" s="97"/>
      <c r="T871" s="97"/>
    </row>
    <row r="872">
      <c r="B872" s="145"/>
      <c r="C872" s="145"/>
      <c r="S872" s="97"/>
      <c r="T872" s="97"/>
    </row>
    <row r="873">
      <c r="B873" s="145"/>
      <c r="C873" s="145"/>
      <c r="S873" s="97"/>
      <c r="T873" s="97"/>
    </row>
    <row r="874">
      <c r="B874" s="145"/>
      <c r="C874" s="145"/>
      <c r="S874" s="97"/>
      <c r="T874" s="97"/>
    </row>
    <row r="875">
      <c r="B875" s="145"/>
      <c r="C875" s="145"/>
      <c r="S875" s="97"/>
      <c r="T875" s="97"/>
    </row>
    <row r="876">
      <c r="B876" s="145"/>
      <c r="C876" s="145"/>
      <c r="S876" s="97"/>
      <c r="T876" s="97"/>
    </row>
    <row r="877">
      <c r="B877" s="145"/>
      <c r="C877" s="145"/>
      <c r="S877" s="97"/>
      <c r="T877" s="97"/>
    </row>
    <row r="878">
      <c r="B878" s="145"/>
      <c r="C878" s="145"/>
      <c r="S878" s="97"/>
      <c r="T878" s="97"/>
    </row>
    <row r="879">
      <c r="B879" s="145"/>
      <c r="C879" s="145"/>
      <c r="S879" s="97"/>
      <c r="T879" s="97"/>
    </row>
    <row r="880">
      <c r="B880" s="145"/>
      <c r="C880" s="145"/>
      <c r="S880" s="97"/>
      <c r="T880" s="97"/>
    </row>
    <row r="881">
      <c r="B881" s="145"/>
      <c r="C881" s="145"/>
      <c r="S881" s="97"/>
      <c r="T881" s="97"/>
    </row>
    <row r="882">
      <c r="B882" s="145"/>
      <c r="C882" s="145"/>
      <c r="S882" s="97"/>
      <c r="T882" s="97"/>
    </row>
    <row r="883">
      <c r="B883" s="145"/>
      <c r="C883" s="145"/>
      <c r="S883" s="97"/>
      <c r="T883" s="97"/>
    </row>
    <row r="884">
      <c r="B884" s="145"/>
      <c r="C884" s="145"/>
      <c r="S884" s="97"/>
      <c r="T884" s="97"/>
    </row>
    <row r="885">
      <c r="B885" s="145"/>
      <c r="C885" s="145"/>
      <c r="S885" s="97"/>
      <c r="T885" s="97"/>
    </row>
    <row r="886">
      <c r="B886" s="145"/>
      <c r="C886" s="145"/>
      <c r="S886" s="97"/>
      <c r="T886" s="97"/>
    </row>
    <row r="887">
      <c r="B887" s="145"/>
      <c r="C887" s="145"/>
      <c r="S887" s="97"/>
      <c r="T887" s="97"/>
    </row>
    <row r="888">
      <c r="B888" s="145"/>
      <c r="C888" s="145"/>
      <c r="S888" s="97"/>
      <c r="T888" s="97"/>
    </row>
    <row r="889">
      <c r="B889" s="145"/>
      <c r="C889" s="145"/>
      <c r="S889" s="97"/>
      <c r="T889" s="97"/>
    </row>
    <row r="890">
      <c r="B890" s="145"/>
      <c r="C890" s="145"/>
      <c r="S890" s="97"/>
      <c r="T890" s="97"/>
    </row>
    <row r="891">
      <c r="B891" s="145"/>
      <c r="C891" s="145"/>
      <c r="S891" s="97"/>
      <c r="T891" s="97"/>
    </row>
    <row r="892">
      <c r="B892" s="145"/>
      <c r="C892" s="145"/>
      <c r="S892" s="97"/>
      <c r="T892" s="97"/>
    </row>
    <row r="893">
      <c r="B893" s="145"/>
      <c r="C893" s="145"/>
      <c r="S893" s="97"/>
      <c r="T893" s="97"/>
    </row>
    <row r="894">
      <c r="B894" s="145"/>
      <c r="C894" s="145"/>
      <c r="S894" s="97"/>
      <c r="T894" s="97"/>
    </row>
    <row r="895">
      <c r="B895" s="145"/>
      <c r="C895" s="145"/>
      <c r="S895" s="97"/>
      <c r="T895" s="97"/>
    </row>
    <row r="896">
      <c r="B896" s="145"/>
      <c r="C896" s="145"/>
      <c r="S896" s="97"/>
      <c r="T896" s="97"/>
    </row>
    <row r="897">
      <c r="B897" s="145"/>
      <c r="C897" s="145"/>
      <c r="S897" s="97"/>
      <c r="T897" s="97"/>
    </row>
    <row r="898">
      <c r="B898" s="145"/>
      <c r="C898" s="145"/>
      <c r="S898" s="97"/>
      <c r="T898" s="97"/>
    </row>
    <row r="899">
      <c r="B899" s="145"/>
      <c r="C899" s="145"/>
      <c r="S899" s="97"/>
      <c r="T899" s="97"/>
    </row>
    <row r="900">
      <c r="B900" s="145"/>
      <c r="C900" s="145"/>
      <c r="S900" s="97"/>
      <c r="T900" s="97"/>
    </row>
    <row r="901">
      <c r="B901" s="145"/>
      <c r="C901" s="145"/>
      <c r="S901" s="97"/>
      <c r="T901" s="97"/>
    </row>
    <row r="902">
      <c r="B902" s="145"/>
      <c r="C902" s="145"/>
      <c r="S902" s="97"/>
      <c r="T902" s="97"/>
    </row>
    <row r="903">
      <c r="B903" s="145"/>
      <c r="C903" s="145"/>
      <c r="S903" s="97"/>
      <c r="T903" s="97"/>
    </row>
    <row r="904">
      <c r="B904" s="145"/>
      <c r="C904" s="145"/>
      <c r="S904" s="97"/>
      <c r="T904" s="97"/>
    </row>
    <row r="905">
      <c r="B905" s="145"/>
      <c r="C905" s="145"/>
      <c r="S905" s="97"/>
      <c r="T905" s="97"/>
    </row>
    <row r="906">
      <c r="B906" s="145"/>
      <c r="C906" s="145"/>
      <c r="S906" s="97"/>
      <c r="T906" s="97"/>
    </row>
    <row r="907">
      <c r="B907" s="145"/>
      <c r="C907" s="145"/>
      <c r="S907" s="97"/>
      <c r="T907" s="97"/>
    </row>
    <row r="908">
      <c r="B908" s="145"/>
      <c r="C908" s="145"/>
      <c r="S908" s="97"/>
      <c r="T908" s="97"/>
    </row>
    <row r="909">
      <c r="B909" s="145"/>
      <c r="C909" s="145"/>
      <c r="S909" s="97"/>
      <c r="T909" s="97"/>
    </row>
    <row r="910">
      <c r="B910" s="145"/>
      <c r="C910" s="145"/>
      <c r="S910" s="97"/>
      <c r="T910" s="97"/>
    </row>
    <row r="911">
      <c r="B911" s="145"/>
      <c r="C911" s="145"/>
      <c r="S911" s="97"/>
      <c r="T911" s="97"/>
    </row>
    <row r="912">
      <c r="B912" s="145"/>
      <c r="C912" s="145"/>
      <c r="S912" s="97"/>
      <c r="T912" s="97"/>
    </row>
    <row r="913">
      <c r="B913" s="145"/>
      <c r="C913" s="145"/>
      <c r="S913" s="97"/>
      <c r="T913" s="97"/>
    </row>
    <row r="914">
      <c r="B914" s="145"/>
      <c r="C914" s="145"/>
      <c r="S914" s="97"/>
      <c r="T914" s="97"/>
    </row>
    <row r="915">
      <c r="B915" s="145"/>
      <c r="C915" s="145"/>
      <c r="S915" s="97"/>
      <c r="T915" s="97"/>
    </row>
    <row r="916">
      <c r="B916" s="145"/>
      <c r="C916" s="145"/>
      <c r="S916" s="97"/>
      <c r="T916" s="97"/>
    </row>
    <row r="917">
      <c r="B917" s="145"/>
      <c r="C917" s="145"/>
      <c r="S917" s="97"/>
      <c r="T917" s="97"/>
    </row>
    <row r="918">
      <c r="B918" s="145"/>
      <c r="C918" s="145"/>
      <c r="S918" s="97"/>
      <c r="T918" s="97"/>
    </row>
    <row r="919">
      <c r="B919" s="145"/>
      <c r="C919" s="145"/>
      <c r="S919" s="97"/>
      <c r="T919" s="97"/>
    </row>
    <row r="920">
      <c r="B920" s="145"/>
      <c r="C920" s="145"/>
      <c r="S920" s="97"/>
      <c r="T920" s="97"/>
    </row>
    <row r="921">
      <c r="B921" s="145"/>
      <c r="C921" s="145"/>
      <c r="S921" s="97"/>
      <c r="T921" s="97"/>
    </row>
    <row r="922">
      <c r="B922" s="145"/>
      <c r="C922" s="145"/>
      <c r="S922" s="97"/>
      <c r="T922" s="97"/>
    </row>
    <row r="923">
      <c r="B923" s="145"/>
      <c r="C923" s="145"/>
      <c r="S923" s="97"/>
      <c r="T923" s="97"/>
    </row>
    <row r="924">
      <c r="B924" s="145"/>
      <c r="C924" s="145"/>
      <c r="S924" s="97"/>
      <c r="T924" s="97"/>
    </row>
    <row r="925">
      <c r="B925" s="145"/>
      <c r="C925" s="145"/>
      <c r="S925" s="97"/>
      <c r="T925" s="97"/>
    </row>
    <row r="926">
      <c r="B926" s="145"/>
      <c r="C926" s="145"/>
      <c r="S926" s="97"/>
      <c r="T926" s="97"/>
    </row>
    <row r="927">
      <c r="B927" s="145"/>
      <c r="C927" s="145"/>
      <c r="S927" s="97"/>
      <c r="T927" s="97"/>
    </row>
    <row r="928">
      <c r="B928" s="145"/>
      <c r="C928" s="145"/>
      <c r="S928" s="97"/>
      <c r="T928" s="97"/>
    </row>
    <row r="929">
      <c r="B929" s="145"/>
      <c r="C929" s="145"/>
      <c r="S929" s="97"/>
      <c r="T929" s="97"/>
    </row>
    <row r="930">
      <c r="B930" s="145"/>
      <c r="C930" s="145"/>
      <c r="S930" s="97"/>
      <c r="T930" s="97"/>
    </row>
    <row r="931">
      <c r="B931" s="145"/>
      <c r="C931" s="145"/>
      <c r="S931" s="97"/>
      <c r="T931" s="97"/>
    </row>
    <row r="932">
      <c r="B932" s="145"/>
      <c r="C932" s="145"/>
      <c r="S932" s="97"/>
      <c r="T932" s="97"/>
    </row>
    <row r="933">
      <c r="B933" s="145"/>
      <c r="C933" s="145"/>
      <c r="S933" s="97"/>
      <c r="T933" s="97"/>
    </row>
  </sheetData>
  <mergeCells count="2">
    <mergeCell ref="K2:L2"/>
    <mergeCell ref="C128:F128"/>
  </mergeCells>
  <drawing r:id="rId2"/>
  <tableParts count="26"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.71"/>
  </cols>
  <sheetData>
    <row r="4">
      <c r="B4" s="181" t="s">
        <v>121</v>
      </c>
    </row>
    <row r="5">
      <c r="B5" s="181" t="s">
        <v>122</v>
      </c>
    </row>
    <row r="6">
      <c r="B6" s="181" t="s">
        <v>123</v>
      </c>
    </row>
    <row r="7">
      <c r="B7" s="181" t="s">
        <v>124</v>
      </c>
    </row>
    <row r="8">
      <c r="B8" s="181" t="s">
        <v>125</v>
      </c>
    </row>
    <row r="9">
      <c r="B9" s="181" t="s">
        <v>126</v>
      </c>
    </row>
    <row r="10">
      <c r="B10" s="181" t="s">
        <v>127</v>
      </c>
    </row>
    <row r="11">
      <c r="B11" s="181" t="s">
        <v>126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.71"/>
    <col customWidth="1" min="2" max="2" width="17.57"/>
    <col customWidth="1" min="3" max="3" width="17.14"/>
    <col customWidth="1" min="4" max="4" width="14.43"/>
    <col customWidth="1" min="5" max="5" width="12.86"/>
    <col customWidth="1" min="6" max="6" width="13.29"/>
  </cols>
  <sheetData>
    <row r="2">
      <c r="B2" s="182" t="s">
        <v>128</v>
      </c>
    </row>
    <row r="3">
      <c r="B3" s="15"/>
    </row>
    <row r="4">
      <c r="B4" s="183" t="s">
        <v>129</v>
      </c>
      <c r="C4" s="100"/>
      <c r="D4" s="184" t="s">
        <v>130</v>
      </c>
      <c r="E4" s="184" t="s">
        <v>131</v>
      </c>
      <c r="F4" s="184" t="s">
        <v>129</v>
      </c>
    </row>
    <row r="5">
      <c r="B5" s="185" t="s">
        <v>132</v>
      </c>
      <c r="C5" s="186" t="s">
        <v>133</v>
      </c>
      <c r="D5" s="187">
        <v>0.02</v>
      </c>
      <c r="E5" s="187">
        <v>0.1</v>
      </c>
      <c r="F5" s="188">
        <f t="shared" ref="F5:F9" si="1">D5+E5</f>
        <v>0.12</v>
      </c>
    </row>
    <row r="6">
      <c r="B6" s="189"/>
      <c r="C6" s="186" t="s">
        <v>134</v>
      </c>
      <c r="D6" s="187">
        <v>0.0</v>
      </c>
      <c r="E6" s="187">
        <v>0.1</v>
      </c>
      <c r="F6" s="188">
        <f t="shared" si="1"/>
        <v>0.1</v>
      </c>
    </row>
    <row r="7">
      <c r="B7" s="189"/>
      <c r="C7" s="186" t="s">
        <v>135</v>
      </c>
      <c r="D7" s="187">
        <v>0.05</v>
      </c>
      <c r="E7" s="187">
        <v>0.05</v>
      </c>
      <c r="F7" s="188">
        <f t="shared" si="1"/>
        <v>0.1</v>
      </c>
    </row>
    <row r="8">
      <c r="B8" s="189"/>
      <c r="C8" s="186" t="s">
        <v>136</v>
      </c>
      <c r="D8" s="187">
        <v>0.02</v>
      </c>
      <c r="E8" s="187">
        <v>0.065</v>
      </c>
      <c r="F8" s="188">
        <f t="shared" si="1"/>
        <v>0.085</v>
      </c>
    </row>
    <row r="9">
      <c r="B9" s="190"/>
      <c r="C9" s="186" t="s">
        <v>137</v>
      </c>
      <c r="D9" s="187">
        <v>0.02</v>
      </c>
      <c r="E9" s="187">
        <v>0.065</v>
      </c>
      <c r="F9" s="188">
        <f t="shared" si="1"/>
        <v>0.085</v>
      </c>
    </row>
    <row r="10">
      <c r="B10" s="191"/>
      <c r="C10" s="192"/>
      <c r="D10" s="192"/>
      <c r="E10" s="192"/>
      <c r="F10" s="192"/>
    </row>
    <row r="11">
      <c r="B11" s="193" t="s">
        <v>138</v>
      </c>
      <c r="C11" s="194"/>
      <c r="D11" s="194"/>
      <c r="E11" s="194"/>
      <c r="F11" s="192"/>
    </row>
    <row r="12">
      <c r="B12" s="195" t="s">
        <v>133</v>
      </c>
      <c r="C12" s="196" t="s">
        <v>139</v>
      </c>
      <c r="D12" s="197"/>
      <c r="E12" s="100"/>
      <c r="F12" s="192"/>
    </row>
    <row r="13">
      <c r="B13" s="198" t="s">
        <v>134</v>
      </c>
      <c r="C13" s="196" t="s">
        <v>140</v>
      </c>
      <c r="D13" s="197"/>
      <c r="E13" s="100"/>
      <c r="F13" s="192"/>
    </row>
    <row r="14">
      <c r="B14" s="198" t="s">
        <v>135</v>
      </c>
      <c r="C14" s="196" t="s">
        <v>141</v>
      </c>
      <c r="D14" s="197"/>
      <c r="E14" s="100"/>
      <c r="F14" s="192"/>
    </row>
    <row r="15">
      <c r="B15" s="198" t="s">
        <v>142</v>
      </c>
      <c r="C15" s="196" t="s">
        <v>143</v>
      </c>
      <c r="D15" s="197"/>
      <c r="E15" s="100"/>
      <c r="F15" s="192"/>
    </row>
    <row r="16">
      <c r="B16" s="198" t="s">
        <v>137</v>
      </c>
      <c r="C16" s="196" t="s">
        <v>143</v>
      </c>
      <c r="D16" s="197"/>
      <c r="E16" s="100"/>
      <c r="F16" s="192"/>
    </row>
    <row r="19">
      <c r="B19" s="142" t="s">
        <v>144</v>
      </c>
    </row>
    <row r="21">
      <c r="B21" s="184" t="s">
        <v>145</v>
      </c>
      <c r="C21" s="184" t="s">
        <v>146</v>
      </c>
    </row>
    <row r="22">
      <c r="B22" s="186" t="s">
        <v>147</v>
      </c>
      <c r="C22" s="199">
        <v>350000.0</v>
      </c>
    </row>
    <row r="23">
      <c r="B23" s="186" t="s">
        <v>148</v>
      </c>
      <c r="C23" s="199">
        <v>600000.0</v>
      </c>
    </row>
    <row r="24">
      <c r="B24" s="186" t="s">
        <v>149</v>
      </c>
      <c r="C24" s="199">
        <v>200000.0</v>
      </c>
    </row>
  </sheetData>
  <mergeCells count="7">
    <mergeCell ref="B4:C4"/>
    <mergeCell ref="B5:B9"/>
    <mergeCell ref="C12:E12"/>
    <mergeCell ref="C13:E13"/>
    <mergeCell ref="C14:E14"/>
    <mergeCell ref="C15:E15"/>
    <mergeCell ref="C16:E1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4.14"/>
    <col customWidth="1" min="2" max="2" width="38.43"/>
    <col customWidth="1" min="3" max="3" width="23.14"/>
    <col customWidth="1" min="4" max="4" width="16.29"/>
    <col customWidth="1" min="5" max="5" width="14.86"/>
    <col customWidth="1" min="6" max="6" width="18.0"/>
    <col customWidth="1" min="7" max="7" width="16.29"/>
    <col customWidth="1" min="8" max="8" width="16.14"/>
    <col customWidth="1" min="9" max="9" width="12.0"/>
    <col customWidth="1" min="10" max="10" width="26.57"/>
    <col customWidth="1" min="11" max="11" width="14.86"/>
    <col customWidth="1" min="12" max="12" width="14.71"/>
    <col customWidth="1" min="13" max="13" width="17.29"/>
    <col customWidth="1" min="14" max="14" width="15.57"/>
    <col customWidth="1" min="15" max="15" width="10.71"/>
    <col customWidth="1" min="16" max="16" width="23.14"/>
    <col customWidth="1" min="17" max="17" width="17.57"/>
    <col customWidth="1" min="18" max="18" width="15.71"/>
    <col customWidth="1" min="19" max="19" width="18.86"/>
    <col customWidth="1" hidden="1" min="20" max="20" width="13.71"/>
    <col customWidth="1" hidden="1" min="21" max="21" width="13.43"/>
    <col customWidth="1" hidden="1" min="22" max="32" width="10.71"/>
  </cols>
  <sheetData>
    <row r="1" ht="8.25" customHeight="1">
      <c r="A1" s="200"/>
      <c r="B1" s="200"/>
      <c r="C1" s="200"/>
      <c r="D1" s="200"/>
      <c r="E1" s="200"/>
      <c r="F1" s="200"/>
      <c r="G1" s="201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</row>
    <row r="2" ht="15.75" customHeight="1">
      <c r="A2" s="200"/>
      <c r="B2" s="202" t="s">
        <v>150</v>
      </c>
      <c r="C2" s="203" t="s">
        <v>94</v>
      </c>
      <c r="D2" s="204"/>
      <c r="E2" s="200"/>
      <c r="F2" s="200"/>
      <c r="G2" s="205"/>
      <c r="H2" s="206"/>
      <c r="I2" s="206"/>
      <c r="J2" s="207"/>
      <c r="K2" s="206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0"/>
      <c r="AD2" s="200"/>
      <c r="AE2" s="200"/>
      <c r="AF2" s="200"/>
    </row>
    <row r="3" ht="15.75" customHeight="1">
      <c r="A3" s="200"/>
      <c r="B3" s="202" t="s">
        <v>25</v>
      </c>
      <c r="C3" s="208" t="s">
        <v>151</v>
      </c>
      <c r="D3" s="16"/>
      <c r="E3" s="200"/>
      <c r="F3" s="209"/>
      <c r="G3" s="210"/>
      <c r="H3" s="200"/>
      <c r="I3" s="200"/>
      <c r="J3" s="211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200"/>
    </row>
    <row r="4" ht="15.75" customHeight="1">
      <c r="A4" s="200"/>
      <c r="B4" s="202" t="s">
        <v>152</v>
      </c>
      <c r="C4" s="212">
        <v>0.05</v>
      </c>
      <c r="D4" s="16"/>
      <c r="E4" s="200"/>
      <c r="H4" s="200"/>
      <c r="I4" s="200"/>
      <c r="J4" s="211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</row>
    <row r="5" ht="15.75" customHeight="1">
      <c r="A5" s="200"/>
      <c r="B5" s="213" t="s">
        <v>153</v>
      </c>
      <c r="C5" s="214" t="s">
        <v>134</v>
      </c>
      <c r="D5" s="16"/>
      <c r="F5" s="90"/>
      <c r="G5" s="215"/>
      <c r="I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</row>
    <row r="6" ht="15.75" customHeight="1">
      <c r="A6" s="200"/>
      <c r="B6" s="202" t="s">
        <v>154</v>
      </c>
      <c r="C6" s="214" t="s">
        <v>148</v>
      </c>
      <c r="D6" s="216"/>
      <c r="F6" s="217"/>
      <c r="G6" s="215"/>
      <c r="I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0"/>
      <c r="AA6" s="200"/>
      <c r="AB6" s="200"/>
      <c r="AC6" s="200"/>
      <c r="AD6" s="200"/>
      <c r="AE6" s="200"/>
      <c r="AF6" s="200"/>
    </row>
    <row r="7" ht="15.75" customHeight="1">
      <c r="A7" s="200"/>
      <c r="B7" s="202" t="s">
        <v>28</v>
      </c>
      <c r="C7" s="218">
        <v>0.0</v>
      </c>
      <c r="D7" s="216"/>
      <c r="F7" s="219" t="s">
        <v>155</v>
      </c>
      <c r="G7" s="220">
        <f>VLOOKUP($C$2,'Parámetros'!$A$118:$D$124,3,0)</f>
        <v>0.4</v>
      </c>
      <c r="I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  <c r="AA7" s="200"/>
      <c r="AB7" s="200"/>
      <c r="AC7" s="200"/>
      <c r="AD7" s="200"/>
      <c r="AE7" s="200"/>
      <c r="AF7" s="200"/>
    </row>
    <row r="8" ht="15.75" customHeight="1">
      <c r="A8" s="200"/>
      <c r="B8" s="202" t="s">
        <v>156</v>
      </c>
      <c r="C8" s="218">
        <v>0.0</v>
      </c>
      <c r="D8" s="204"/>
      <c r="F8" s="221" t="str">
        <f>IF(D13&gt;=G7,"Dentro del margen","¡Por debajo del margen!")</f>
        <v>¡Por debajo del margen!</v>
      </c>
      <c r="I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</row>
    <row r="9" ht="15.75" customHeight="1">
      <c r="A9" s="200"/>
      <c r="B9" s="202" t="s">
        <v>157</v>
      </c>
      <c r="C9" s="222"/>
      <c r="D9" s="204"/>
      <c r="E9" s="200"/>
      <c r="H9" s="200"/>
      <c r="I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200"/>
      <c r="AC9" s="200"/>
      <c r="AD9" s="200"/>
      <c r="AE9" s="200"/>
      <c r="AF9" s="200"/>
    </row>
    <row r="10" ht="15.75" customHeight="1">
      <c r="A10" s="200"/>
      <c r="B10" s="202" t="s">
        <v>158</v>
      </c>
      <c r="C10" s="208">
        <v>4.0</v>
      </c>
      <c r="D10" s="16"/>
      <c r="E10" s="200"/>
      <c r="H10" s="201"/>
      <c r="I10" s="223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</row>
    <row r="11" ht="15.75" customHeight="1">
      <c r="A11" s="200"/>
      <c r="B11" s="224"/>
      <c r="C11" s="16"/>
      <c r="D11" s="16"/>
      <c r="E11" s="200"/>
      <c r="F11" s="202" t="s">
        <v>44</v>
      </c>
      <c r="G11" s="225" t="s">
        <v>45</v>
      </c>
      <c r="H11" s="223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</row>
    <row r="12" ht="18.75" customHeight="1">
      <c r="B12" s="226" t="s">
        <v>7</v>
      </c>
      <c r="C12" s="17" t="s">
        <v>6</v>
      </c>
      <c r="D12" s="227">
        <f>F12*C4+IFS(C5="Cold Calling",2%*138.3522%,C5="Mercadeo",2%*101%,C5="Network - Cold Calling",2%*138.3522%,C5="Referido Imagine",5%*138.3522%,C5="Directo",0)*F12+ifs(AND(C6="Perfil Jr.",C2="Network"),200000,AND(C6="Perfil Sr.",C2="Network"),350000,AND(C2="Network",C6="Perfil Semi Senior"), 600000,C2="Proyecto",1,C2="Equipo dedicado",1,C2="Servidores",1,C2="Enterprise",1,C2="Descubrimiento",1)</f>
        <v>2903226.806</v>
      </c>
      <c r="E12" s="228" t="s">
        <v>159</v>
      </c>
      <c r="F12" s="229">
        <f>((C61+C57+C59)/((1-D13-'Parámetros'!L8*C7)))*IF(C8=1,102.4%,1)</f>
        <v>58064516.13</v>
      </c>
      <c r="G12" s="230">
        <f>F12/'Parámetros'!$L$3</f>
        <v>16356.20173</v>
      </c>
      <c r="H12" s="211"/>
      <c r="I12" s="15">
        <v>160.0</v>
      </c>
      <c r="J12" s="15">
        <v>1.0</v>
      </c>
      <c r="M12" s="23"/>
      <c r="N12" s="24"/>
      <c r="O12" s="24"/>
    </row>
    <row r="13" ht="18.75" customHeight="1">
      <c r="B13" s="27"/>
      <c r="C13" s="17" t="s">
        <v>9</v>
      </c>
      <c r="D13" s="231">
        <v>0.38</v>
      </c>
      <c r="E13" s="228" t="s">
        <v>160</v>
      </c>
      <c r="F13" s="229">
        <f>F12/C10</f>
        <v>14516129.03</v>
      </c>
      <c r="G13" s="230">
        <f>F13/'Parámetros'!$L$3</f>
        <v>4089.050432</v>
      </c>
      <c r="I13" s="15">
        <v>12.0</v>
      </c>
      <c r="J13" s="232">
        <f>I13*J12/I12</f>
        <v>0.075</v>
      </c>
      <c r="M13" s="23"/>
      <c r="N13" s="24"/>
      <c r="O13" s="24"/>
    </row>
    <row r="14" ht="18.75" customHeight="1">
      <c r="B14" s="27"/>
      <c r="C14" s="17" t="s">
        <v>15</v>
      </c>
      <c r="D14" s="227">
        <f>F12*'Parámetros'!L5</f>
        <v>400645.1613</v>
      </c>
      <c r="E14" s="228" t="s">
        <v>161</v>
      </c>
      <c r="F14" s="229">
        <f>F12/SUM(D43:D52)/C10</f>
        <v>80645.16129</v>
      </c>
      <c r="G14" s="230">
        <f>G12/SUM(D43:D52)/C10</f>
        <v>22.71694684</v>
      </c>
      <c r="L14" s="22"/>
      <c r="O14" s="28"/>
      <c r="P14" s="28"/>
      <c r="Q14" s="28"/>
    </row>
    <row r="15" ht="14.25" customHeight="1">
      <c r="B15" s="43"/>
      <c r="C15" s="17" t="s">
        <v>18</v>
      </c>
      <c r="D15" s="233">
        <f>(F12-C62-D14-D12-C7*'Parámetros'!L8*F12-IF(C8=1,2.4%,0)*F12)/F12</f>
        <v>0.2594240498</v>
      </c>
      <c r="F15" s="23"/>
      <c r="G15" s="55"/>
      <c r="I15" s="15" t="s">
        <v>162</v>
      </c>
      <c r="J15" s="234">
        <v>3127889.861152942</v>
      </c>
      <c r="L15" s="32"/>
      <c r="M15" s="33"/>
      <c r="O15" s="28"/>
      <c r="P15" s="28"/>
      <c r="Q15" s="28"/>
    </row>
    <row r="16" ht="14.25" customHeight="1">
      <c r="D16" s="235"/>
      <c r="F16" s="236"/>
      <c r="G16" s="55"/>
      <c r="H16" s="237"/>
      <c r="I16" s="238" t="s">
        <v>163</v>
      </c>
      <c r="J16" s="239">
        <v>5044796.574575055</v>
      </c>
      <c r="L16" s="32"/>
      <c r="M16" s="37"/>
      <c r="N16" s="38"/>
      <c r="O16" s="39"/>
    </row>
    <row r="17" ht="14.25" customHeight="1" collapsed="1">
      <c r="F17" s="236"/>
      <c r="G17" s="55"/>
      <c r="L17" s="22"/>
    </row>
    <row r="18" ht="15.75" hidden="1" customHeight="1" outlineLevel="1">
      <c r="B18" s="226" t="s">
        <v>22</v>
      </c>
      <c r="C18" s="17" t="s">
        <v>6</v>
      </c>
      <c r="D18" s="227">
        <f>F18*C4+IFS(C5="Cold Calling",2%*138.3522%,C5="Mercadeo",2%*101%,C5="Network - Cold Calling",2%*138.3522%,C5="Referido Imagine",5%*138.3522%,C5="Directo",0)*F18</f>
        <v>2671061.246</v>
      </c>
      <c r="E18" s="228" t="s">
        <v>159</v>
      </c>
      <c r="F18" s="229">
        <f>+C62/((1-IFS(C5="Cold Calling",2%*138.3522%,C5="Mercadeo",2%*101%,C5="Network - Cold Calling",2%*138.3522%,C5="Referido Imagine",5%*138.3522%,C5="Directo",0)-C4-D19-'Parámetros'!L5-C7*'Parámetros'!L8))*IF(C8=1,102.4%,1)</f>
        <v>53421224.92</v>
      </c>
      <c r="G18" s="230">
        <f>F18/'Parámetros'!L3</f>
        <v>15048.23237</v>
      </c>
      <c r="L18" s="22"/>
    </row>
    <row r="19" ht="16.5" hidden="1" customHeight="1" outlineLevel="1">
      <c r="B19" s="27"/>
      <c r="C19" s="17" t="s">
        <v>18</v>
      </c>
      <c r="D19" s="231">
        <v>0.2</v>
      </c>
      <c r="E19" s="228" t="s">
        <v>160</v>
      </c>
      <c r="F19" s="229">
        <f>F18/C10</f>
        <v>13355306.23</v>
      </c>
      <c r="G19" s="230">
        <f>G18/C10</f>
        <v>3762.058093</v>
      </c>
      <c r="L19" s="32"/>
      <c r="M19" s="33"/>
    </row>
    <row r="20" ht="17.25" hidden="1" customHeight="1" outlineLevel="1">
      <c r="B20" s="27"/>
      <c r="C20" s="17" t="s">
        <v>15</v>
      </c>
      <c r="D20" s="227">
        <f>F18*'Parámetros'!L5</f>
        <v>368606.4519</v>
      </c>
      <c r="E20" s="228" t="s">
        <v>161</v>
      </c>
      <c r="F20" s="229">
        <f>F18/SUM(D43:D52)/C10</f>
        <v>74196.14572</v>
      </c>
      <c r="G20" s="230">
        <f>G18/SUM(D43:D52)/C10</f>
        <v>20.90032274</v>
      </c>
      <c r="L20" s="22"/>
      <c r="M20" s="55"/>
    </row>
    <row r="21" ht="14.25" hidden="1" customHeight="1" outlineLevel="1">
      <c r="B21" s="43"/>
      <c r="C21" s="17" t="s">
        <v>9</v>
      </c>
      <c r="D21" s="240">
        <f>(((F18-C57-C59-C61-C7*'Parámetros'!L8*F18)-IF(C8=1,2.4%,0)*F18)/F18)</f>
        <v>0.3261105477</v>
      </c>
      <c r="E21" s="241"/>
      <c r="G21" s="55"/>
    </row>
    <row r="22" ht="14.25" customHeight="1">
      <c r="D22" s="55"/>
      <c r="E22" s="23"/>
      <c r="F22" s="242"/>
      <c r="G22" s="55"/>
    </row>
    <row r="23" ht="14.25" customHeight="1">
      <c r="B23" s="243" t="str">
        <f>'Parámetros'!B149</f>
        <v>Considerar como mínimo por cada Dev: 
 PM:33%, QA:20%, Diseño:10%</v>
      </c>
      <c r="C23" s="244"/>
      <c r="G23" s="55"/>
      <c r="M23" s="245"/>
    </row>
    <row r="24" ht="15.75" customHeight="1">
      <c r="B24" s="246"/>
      <c r="C24" s="244"/>
      <c r="G24" s="55"/>
    </row>
    <row r="25" ht="15.75" customHeight="1">
      <c r="E25" s="247">
        <f>SUM(E27:E34)</f>
        <v>1</v>
      </c>
      <c r="G25" s="248"/>
    </row>
    <row r="26" ht="14.25" customHeight="1">
      <c r="B26" s="249" t="s">
        <v>31</v>
      </c>
      <c r="C26" s="249" t="s">
        <v>32</v>
      </c>
      <c r="D26" s="249" t="s">
        <v>33</v>
      </c>
      <c r="E26" s="250" t="s">
        <v>35</v>
      </c>
      <c r="F26" s="250" t="s">
        <v>164</v>
      </c>
      <c r="G26" s="250" t="s">
        <v>165</v>
      </c>
      <c r="H26" s="250" t="s">
        <v>37</v>
      </c>
      <c r="I26" s="146"/>
      <c r="J26" s="146"/>
      <c r="L26" s="67"/>
    </row>
    <row r="27" ht="14.25" customHeight="1">
      <c r="A27" s="251">
        <f>IFERROR(__xludf.DUMMYFUNCTION("COUNTIF(SPLIT(B27,"" ""),""Developer"")"),0.0)</f>
        <v>0</v>
      </c>
      <c r="B27" s="252" t="s">
        <v>89</v>
      </c>
      <c r="C27" s="68">
        <f>IFERROR(VLOOKUP(B27,'Parámetros'!A$1:B113,2, FALSE),"")</f>
        <v>9000000</v>
      </c>
      <c r="D27" s="208" t="s">
        <v>166</v>
      </c>
      <c r="E27" s="253">
        <v>1.0</v>
      </c>
      <c r="F27" s="68">
        <f>+IFERROR(IF(D27="Nómina",C27*1.38352,C27),"")*E27</f>
        <v>9000000</v>
      </c>
      <c r="G27" s="68">
        <f>F27*C$10</f>
        <v>36000000</v>
      </c>
      <c r="H27" s="254">
        <f>F27/(AVERAGE('Parámetros'!$F$5:$F$6)+$F$37)</f>
        <v>0.02624237555</v>
      </c>
      <c r="I27" s="146"/>
      <c r="J27" s="146"/>
      <c r="L27" s="73"/>
    </row>
    <row r="28" ht="14.25" customHeight="1">
      <c r="A28" s="251">
        <f>IFERROR(__xludf.DUMMYFUNCTION("COUNTIF(SPLIT(B28,"" ""),""Developer"")"),0.0)</f>
        <v>0</v>
      </c>
      <c r="B28" s="255"/>
      <c r="C28" s="68"/>
      <c r="D28" s="208"/>
      <c r="E28" s="256"/>
      <c r="F28" s="68"/>
      <c r="G28" s="68"/>
      <c r="H28" s="254"/>
      <c r="I28" s="146"/>
      <c r="J28" s="146"/>
      <c r="L28" s="73"/>
      <c r="R28" s="74"/>
    </row>
    <row r="29" ht="14.25" customHeight="1">
      <c r="A29" s="251">
        <f>IFERROR(__xludf.DUMMYFUNCTION("COUNTIF(SPLIT(B29,"" ""),""Developer"")"),0.0)</f>
        <v>0</v>
      </c>
      <c r="B29" s="255"/>
      <c r="C29" s="68"/>
      <c r="D29" s="208"/>
      <c r="E29" s="256"/>
      <c r="F29" s="68"/>
      <c r="G29" s="68"/>
      <c r="H29" s="254"/>
      <c r="I29" s="146"/>
      <c r="J29" s="146"/>
      <c r="L29" s="73"/>
    </row>
    <row r="30" ht="14.25" customHeight="1">
      <c r="A30" s="251">
        <f>IFERROR(__xludf.DUMMYFUNCTION("COUNTIF(SPLIT(B30,"" ""),""Developer"")"),0.0)</f>
        <v>0</v>
      </c>
      <c r="B30" s="255"/>
      <c r="C30" s="68" t="str">
        <f>IFERROR(VLOOKUP(B30,'Parámetros'!A$1:B116,2, FALSE),"")</f>
        <v/>
      </c>
      <c r="D30" s="208"/>
      <c r="E30" s="257"/>
      <c r="F30" s="68">
        <f>+IFERROR(IF(D30="Nómina",C30*1.38352,C30),"")*E30*105%</f>
        <v>0</v>
      </c>
      <c r="G30" s="68">
        <f>F30*C$10</f>
        <v>0</v>
      </c>
      <c r="H30" s="254">
        <f>G30/(AVERAGE('Parámetros'!$F$5:$F$6)+$F$37)</f>
        <v>0</v>
      </c>
      <c r="I30" s="146"/>
      <c r="J30" s="146"/>
      <c r="L30" s="73"/>
    </row>
    <row r="31" ht="14.25" customHeight="1">
      <c r="A31" s="251">
        <f>IFERROR(__xludf.DUMMYFUNCTION("COUNTIF(SPLIT(B31,"" ""),""Developer"")"),0.0)</f>
        <v>0</v>
      </c>
      <c r="B31" s="252"/>
      <c r="C31" s="68"/>
      <c r="D31" s="208"/>
      <c r="E31" s="253"/>
      <c r="F31" s="68"/>
      <c r="G31" s="68"/>
      <c r="H31" s="254"/>
      <c r="I31" s="146"/>
      <c r="J31" s="146"/>
      <c r="L31" s="73"/>
    </row>
    <row r="32" ht="14.25" customHeight="1">
      <c r="A32" s="251">
        <f>IFERROR(__xludf.DUMMYFUNCTION("COUNTIF(SPLIT(B32,"" ""),""Developer"")"),0.0)</f>
        <v>0</v>
      </c>
      <c r="B32" s="255"/>
      <c r="C32" s="68"/>
      <c r="D32" s="208"/>
      <c r="E32" s="256"/>
      <c r="F32" s="68">
        <f t="shared" ref="F32:F36" si="1">+IFERROR(IF(D32="Nómina",C32*1.38352,C32),"")*E32*105%</f>
        <v>0</v>
      </c>
      <c r="G32" s="68">
        <f t="shared" ref="G32:G36" si="2">F32*C$10</f>
        <v>0</v>
      </c>
      <c r="H32" s="254">
        <f>G32/(AVERAGE('Parámetros'!$F$5:$F$6)+$F$37)</f>
        <v>0</v>
      </c>
      <c r="I32" s="146"/>
      <c r="J32" s="146"/>
      <c r="K32" s="146"/>
    </row>
    <row r="33" ht="14.25" customHeight="1">
      <c r="A33" s="251">
        <f>IFERROR(__xludf.DUMMYFUNCTION("COUNTIF(SPLIT(B33,"" ""),""Developer"")"),0.0)</f>
        <v>0</v>
      </c>
      <c r="B33" s="255"/>
      <c r="C33" s="68"/>
      <c r="D33" s="208"/>
      <c r="E33" s="258"/>
      <c r="F33" s="68">
        <f t="shared" si="1"/>
        <v>0</v>
      </c>
      <c r="G33" s="68">
        <f t="shared" si="2"/>
        <v>0</v>
      </c>
      <c r="H33" s="254">
        <f>G33/(AVERAGE('Parámetros'!$F$5:$F$6)+$F$37)</f>
        <v>0</v>
      </c>
      <c r="I33" s="146"/>
      <c r="J33" s="146"/>
      <c r="K33" s="146"/>
    </row>
    <row r="34" ht="14.25" customHeight="1">
      <c r="A34" s="251">
        <f>IFERROR(__xludf.DUMMYFUNCTION("COUNTIF(SPLIT(B34,"" ""),""Developer"")"),0.0)</f>
        <v>0</v>
      </c>
      <c r="B34" s="255"/>
      <c r="C34" s="68" t="str">
        <f>IFERROR(VLOOKUP(B34,'Parámetros'!A$1:B120,2, FALSE),"")</f>
        <v/>
      </c>
      <c r="D34" s="208"/>
      <c r="E34" s="258"/>
      <c r="F34" s="68">
        <f t="shared" si="1"/>
        <v>0</v>
      </c>
      <c r="G34" s="68">
        <f t="shared" si="2"/>
        <v>0</v>
      </c>
      <c r="H34" s="254">
        <f>G34/(AVERAGE('Parámetros'!$F$5:$F$6)+$F$37)</f>
        <v>0</v>
      </c>
      <c r="I34" s="146"/>
      <c r="J34" s="146"/>
      <c r="K34" s="146"/>
    </row>
    <row r="35" ht="14.25" customHeight="1">
      <c r="A35" s="251"/>
      <c r="B35" s="252"/>
      <c r="C35" s="68" t="str">
        <f>IFERROR(VLOOKUP(B35,'Parámetros'!A$1:B121,2, FALSE),"")</f>
        <v/>
      </c>
      <c r="D35" s="208"/>
      <c r="E35" s="258"/>
      <c r="F35" s="68">
        <f t="shared" si="1"/>
        <v>0</v>
      </c>
      <c r="G35" s="68">
        <f t="shared" si="2"/>
        <v>0</v>
      </c>
      <c r="H35" s="254">
        <f>G35/(AVERAGE('Parámetros'!$F$5:$F$6)+$F$37)</f>
        <v>0</v>
      </c>
      <c r="I35" s="146"/>
      <c r="J35" s="146"/>
      <c r="K35" s="146"/>
    </row>
    <row r="36" ht="14.25" customHeight="1">
      <c r="A36" s="251"/>
      <c r="B36" s="255"/>
      <c r="C36" s="68" t="str">
        <f>IFERROR(VLOOKUP(B36,'Parámetros'!A$1:B122,2, FALSE),"")</f>
        <v/>
      </c>
      <c r="D36" s="208"/>
      <c r="E36" s="258"/>
      <c r="F36" s="68">
        <f t="shared" si="1"/>
        <v>0</v>
      </c>
      <c r="G36" s="68">
        <f t="shared" si="2"/>
        <v>0</v>
      </c>
      <c r="H36" s="254">
        <f>G36/(AVERAGE('Parámetros'!$F$5:$F$6)+$F$37)</f>
        <v>0</v>
      </c>
      <c r="I36" s="146"/>
      <c r="J36" s="146"/>
      <c r="K36" s="146"/>
    </row>
    <row r="37" ht="14.25" customHeight="1">
      <c r="F37" s="259">
        <f t="shared" ref="F37:H37" si="3">SUM(F27:F36)</f>
        <v>9000000</v>
      </c>
      <c r="G37" s="259">
        <f t="shared" si="3"/>
        <v>36000000</v>
      </c>
      <c r="H37" s="260">
        <f t="shared" si="3"/>
        <v>0.02624237555</v>
      </c>
      <c r="M37" s="90"/>
      <c r="N37" s="91"/>
      <c r="O37" s="92"/>
      <c r="P37" s="93"/>
      <c r="Q37" s="94"/>
    </row>
    <row r="38" ht="14.25" customHeight="1">
      <c r="G38" s="55"/>
    </row>
    <row r="39" ht="14.25" customHeight="1">
      <c r="G39" s="55"/>
    </row>
    <row r="40" ht="14.25" customHeight="1">
      <c r="C40" s="261" t="s">
        <v>9</v>
      </c>
      <c r="D40" s="261" t="s">
        <v>45</v>
      </c>
      <c r="G40" s="55"/>
    </row>
    <row r="41" ht="14.25" customHeight="1">
      <c r="F41" s="97"/>
      <c r="G41" s="55"/>
    </row>
    <row r="42" ht="14.25" customHeight="1">
      <c r="B42" s="262" t="s">
        <v>31</v>
      </c>
      <c r="C42" s="261" t="s">
        <v>35</v>
      </c>
      <c r="D42" s="263" t="s">
        <v>48</v>
      </c>
      <c r="E42" s="261" t="s">
        <v>50</v>
      </c>
      <c r="F42" s="261" t="s">
        <v>159</v>
      </c>
      <c r="G42" s="55"/>
    </row>
    <row r="43" ht="14.25" customHeight="1">
      <c r="B43" s="264" t="str">
        <f t="shared" ref="B43:B52" si="4">B27</f>
        <v>Forward Deployed Enginnier - On Site</v>
      </c>
      <c r="C43" s="265">
        <f t="shared" ref="C43:C52" si="5">E27</f>
        <v>1</v>
      </c>
      <c r="D43" s="266">
        <f t="shared" ref="D43:D52" si="6">C43*180</f>
        <v>180</v>
      </c>
      <c r="E43" s="267">
        <f>IFERROR((IF($C$40="Gross Margin",F27/$F$37*$F$12,IF($C$40="Net Margin",F27/$F$37*$F$18,"Error")))/D43,"")/IF($D$40="USD",'Parámetros'!$L$3,1)/$C$10</f>
        <v>22.71694684</v>
      </c>
      <c r="F43" s="267">
        <f t="shared" ref="F43:F52" si="7">E43*D43</f>
        <v>4089.050432</v>
      </c>
      <c r="G43" s="55"/>
    </row>
    <row r="44" ht="14.25" customHeight="1">
      <c r="B44" s="264" t="str">
        <f t="shared" si="4"/>
        <v/>
      </c>
      <c r="C44" s="265" t="str">
        <f t="shared" si="5"/>
        <v/>
      </c>
      <c r="D44" s="266">
        <f t="shared" si="6"/>
        <v>0</v>
      </c>
      <c r="E44" s="267">
        <f>IFERROR((IF($C$40="Gross Margin",F28/$F$37*$F$12,IF($C$40="Net Margin",F28/$F$37*$F$18,"Error")))/D44,"")/IF($D$40="USD",'Parámetros'!$L$3,1)/$C$10</f>
        <v>0</v>
      </c>
      <c r="F44" s="267">
        <f t="shared" si="7"/>
        <v>0</v>
      </c>
      <c r="G44" s="55"/>
    </row>
    <row r="45" ht="14.25" customHeight="1">
      <c r="B45" s="264" t="str">
        <f t="shared" si="4"/>
        <v/>
      </c>
      <c r="C45" s="265" t="str">
        <f t="shared" si="5"/>
        <v/>
      </c>
      <c r="D45" s="266">
        <f t="shared" si="6"/>
        <v>0</v>
      </c>
      <c r="E45" s="267">
        <f>IFERROR((IF($C$40="Gross Margin",F29/$F$37*$F$12,IF($C$40="Net Margin",F29/$F$37*$F$18,"Error")))/D45,"")/IF($D$40="USD",'Parámetros'!$L$3,1)/$C$10</f>
        <v>0</v>
      </c>
      <c r="F45" s="267">
        <f t="shared" si="7"/>
        <v>0</v>
      </c>
      <c r="G45" s="23"/>
    </row>
    <row r="46" ht="14.25" customHeight="1">
      <c r="B46" s="264" t="str">
        <f t="shared" si="4"/>
        <v/>
      </c>
      <c r="C46" s="265" t="str">
        <f t="shared" si="5"/>
        <v/>
      </c>
      <c r="D46" s="266">
        <f t="shared" si="6"/>
        <v>0</v>
      </c>
      <c r="E46" s="267">
        <f>IFERROR((IF($C$40="Gross Margin",F30/$F$37*$F$12,IF($C$40="Net Margin",F30/$F$37*$F$18,"Error")))/D46,"")/IF($D$40="USD",'Parámetros'!$L$3,1)/$C$10</f>
        <v>0</v>
      </c>
      <c r="F46" s="267">
        <f t="shared" si="7"/>
        <v>0</v>
      </c>
      <c r="G46" s="23"/>
    </row>
    <row r="47" ht="14.25" customHeight="1">
      <c r="B47" s="264" t="str">
        <f t="shared" si="4"/>
        <v/>
      </c>
      <c r="C47" s="265" t="str">
        <f t="shared" si="5"/>
        <v/>
      </c>
      <c r="D47" s="266">
        <f t="shared" si="6"/>
        <v>0</v>
      </c>
      <c r="E47" s="267">
        <f>IFERROR((IF($C$40="Gross Margin",F31/$F$37*$F$12,IF($C$40="Net Margin",F31/$F$37*$F$18,"Error")))/D47,"")/IF($D$40="USD",'Parámetros'!$L$3,1)/$C$10</f>
        <v>0</v>
      </c>
      <c r="F47" s="267">
        <f t="shared" si="7"/>
        <v>0</v>
      </c>
      <c r="G47" s="55"/>
    </row>
    <row r="48" ht="14.25" customHeight="1">
      <c r="B48" s="264" t="str">
        <f t="shared" si="4"/>
        <v/>
      </c>
      <c r="C48" s="265" t="str">
        <f t="shared" si="5"/>
        <v/>
      </c>
      <c r="D48" s="266">
        <f t="shared" si="6"/>
        <v>0</v>
      </c>
      <c r="E48" s="267">
        <f>IFERROR((IF($C$40="Gross Margin",F32/$F$37*$F$12,IF($C$40="Net Margin",F32/$F$37*$F$18,"Error")))/D48,"")/IF($D$40="USD",'Parámetros'!$L$3,1)</f>
        <v>0</v>
      </c>
      <c r="F48" s="267">
        <f t="shared" si="7"/>
        <v>0</v>
      </c>
      <c r="G48" s="55"/>
    </row>
    <row r="49" ht="14.25" customHeight="1">
      <c r="B49" s="264" t="str">
        <f t="shared" si="4"/>
        <v/>
      </c>
      <c r="C49" s="265" t="str">
        <f t="shared" si="5"/>
        <v/>
      </c>
      <c r="D49" s="266">
        <f t="shared" si="6"/>
        <v>0</v>
      </c>
      <c r="E49" s="267">
        <f>IFERROR((IF($C$40="Gross Margin",F33/$F$37*$F$12,IF($C$40="Net Margin",F33/$F$37*$F$18,"Error")))/D49,"")/IF($D$40="USD",'Parámetros'!$L$3,1)</f>
        <v>0</v>
      </c>
      <c r="F49" s="267">
        <f t="shared" si="7"/>
        <v>0</v>
      </c>
      <c r="G49" s="55"/>
    </row>
    <row r="50" ht="14.25" customHeight="1">
      <c r="B50" s="264" t="str">
        <f t="shared" si="4"/>
        <v/>
      </c>
      <c r="C50" s="265" t="str">
        <f t="shared" si="5"/>
        <v/>
      </c>
      <c r="D50" s="266">
        <f t="shared" si="6"/>
        <v>0</v>
      </c>
      <c r="E50" s="267">
        <f>IFERROR((IF($C$40="Gross Margin",F34/$F$37*$F$12,IF($C$40="Net Margin",F34/$F$37*$F$18,"Error")))/D50,"")/IF($D$40="USD",'Parámetros'!$L$3,1)</f>
        <v>0</v>
      </c>
      <c r="F50" s="267">
        <f t="shared" si="7"/>
        <v>0</v>
      </c>
      <c r="G50" s="55"/>
    </row>
    <row r="51" ht="14.25" customHeight="1">
      <c r="B51" s="264" t="str">
        <f t="shared" si="4"/>
        <v/>
      </c>
      <c r="C51" s="265" t="str">
        <f t="shared" si="5"/>
        <v/>
      </c>
      <c r="D51" s="266">
        <f t="shared" si="6"/>
        <v>0</v>
      </c>
      <c r="E51" s="267">
        <f>IFERROR((IF($C$40="Gross Margin",F35/$F$37*$F$12,IF($C$40="Net Margin",F35/$F$37*$F$18,"Error")))/D51,"")/IF($D$40="USD",'Parámetros'!$L$3,1)</f>
        <v>0</v>
      </c>
      <c r="F51" s="267">
        <f t="shared" si="7"/>
        <v>0</v>
      </c>
      <c r="G51" s="55"/>
    </row>
    <row r="52" ht="14.25" customHeight="1">
      <c r="B52" s="264" t="str">
        <f t="shared" si="4"/>
        <v/>
      </c>
      <c r="C52" s="265" t="str">
        <f t="shared" si="5"/>
        <v/>
      </c>
      <c r="D52" s="268">
        <f t="shared" si="6"/>
        <v>0</v>
      </c>
      <c r="E52" s="267">
        <f>IFERROR((IF($C$40="Gross Margin",F36/$F$37*$F$12,IF($C$40="Net Margin",F36/$F$37*$F$18,"Error")))/D52,"")/IF($D$40="USD",'Parámetros'!$L$3,1)</f>
        <v>0</v>
      </c>
      <c r="F52" s="267">
        <f t="shared" si="7"/>
        <v>0</v>
      </c>
      <c r="G52" s="55"/>
    </row>
    <row r="53" ht="14.25" customHeight="1">
      <c r="E53" s="269" t="s">
        <v>52</v>
      </c>
      <c r="F53" s="270">
        <f>SUM(F43:F52)</f>
        <v>4089.050432</v>
      </c>
      <c r="G53" s="55"/>
    </row>
    <row r="54" ht="14.25" customHeight="1">
      <c r="E54" s="269" t="s">
        <v>167</v>
      </c>
      <c r="F54" s="270">
        <f>F53-G13</f>
        <v>0</v>
      </c>
      <c r="G54" s="55"/>
    </row>
    <row r="55" ht="14.25" customHeight="1">
      <c r="D55" s="271"/>
      <c r="E55" s="271"/>
      <c r="G55" s="55"/>
    </row>
    <row r="56" ht="14.25" customHeight="1">
      <c r="B56" s="272" t="s">
        <v>11</v>
      </c>
      <c r="C56" s="272" t="s">
        <v>52</v>
      </c>
      <c r="D56" s="273" t="s">
        <v>116</v>
      </c>
      <c r="E56" s="274"/>
      <c r="G56" s="55"/>
    </row>
    <row r="57" ht="14.25" customHeight="1" outlineLevel="1">
      <c r="A57" s="33"/>
      <c r="B57" s="275" t="s">
        <v>14</v>
      </c>
      <c r="C57" s="276">
        <f>G37</f>
        <v>36000000</v>
      </c>
      <c r="D57" s="276">
        <f t="shared" ref="D57:D62" si="8">C57/C$10</f>
        <v>9000000</v>
      </c>
      <c r="E57" s="277"/>
      <c r="F57" s="33"/>
      <c r="G57" s="37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</row>
    <row r="58" ht="14.25" customHeight="1" outlineLevel="1">
      <c r="A58" s="33"/>
      <c r="B58" s="278" t="s">
        <v>17</v>
      </c>
      <c r="C58" s="279">
        <f>C60+C61+C59</f>
        <v>3697312.237</v>
      </c>
      <c r="D58" s="279">
        <f t="shared" si="8"/>
        <v>924328.0592</v>
      </c>
      <c r="E58" s="277"/>
      <c r="F58" s="33"/>
      <c r="G58" s="37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</row>
    <row r="59" ht="14.25" customHeight="1" outlineLevel="1">
      <c r="B59" s="280" t="s">
        <v>19</v>
      </c>
      <c r="C59" s="70"/>
      <c r="D59" s="70">
        <f t="shared" si="8"/>
        <v>0</v>
      </c>
      <c r="E59" s="271"/>
      <c r="G59" s="55"/>
    </row>
    <row r="60" ht="14.25" customHeight="1" outlineLevel="1">
      <c r="B60" s="280" t="s">
        <v>20</v>
      </c>
      <c r="C60" s="281">
        <f>H37*AVERAGE('Parámetros'!G8:G9)*IF(C2="Network",15%,100%)*IF(C2="Enterprise",40%,100%)</f>
        <v>3697312.237</v>
      </c>
      <c r="D60" s="281">
        <f t="shared" si="8"/>
        <v>924328.0592</v>
      </c>
      <c r="E60" s="282"/>
      <c r="G60" s="55"/>
    </row>
    <row r="61" ht="14.25" customHeight="1" outlineLevel="1">
      <c r="B61" s="280" t="s">
        <v>21</v>
      </c>
      <c r="C61" s="70"/>
      <c r="D61" s="70">
        <f t="shared" si="8"/>
        <v>0</v>
      </c>
      <c r="E61" s="282"/>
      <c r="G61" s="55"/>
    </row>
    <row r="62" ht="14.25" customHeight="1">
      <c r="B62" s="283" t="s">
        <v>23</v>
      </c>
      <c r="C62" s="284">
        <f>C57+C58</f>
        <v>39697312.24</v>
      </c>
      <c r="D62" s="284">
        <f t="shared" si="8"/>
        <v>9924328.059</v>
      </c>
      <c r="E62" s="277"/>
      <c r="G62" s="55"/>
    </row>
    <row r="63" ht="14.25" customHeight="1">
      <c r="B63" s="285" t="s">
        <v>168</v>
      </c>
      <c r="C63" s="286">
        <f t="shared" ref="C63:D63" si="9">C57+C59+C61</f>
        <v>36000000</v>
      </c>
      <c r="D63" s="286">
        <f t="shared" si="9"/>
        <v>9000000</v>
      </c>
      <c r="E63" s="287"/>
      <c r="G63" s="55"/>
    </row>
    <row r="64">
      <c r="D64" s="271"/>
      <c r="E64" s="271"/>
      <c r="G64" s="55"/>
    </row>
    <row r="65" ht="14.25" customHeight="1">
      <c r="G65" s="55"/>
    </row>
    <row r="66" ht="14.25" customHeight="1">
      <c r="G66" s="55"/>
    </row>
    <row r="67" ht="14.25" customHeight="1">
      <c r="G67" s="55"/>
    </row>
    <row r="68" ht="14.25" customHeight="1">
      <c r="G68" s="55"/>
    </row>
    <row r="69" ht="14.25" customHeight="1">
      <c r="G69" s="55"/>
    </row>
    <row r="70" ht="14.25" customHeight="1">
      <c r="G70" s="55"/>
    </row>
    <row r="71" ht="14.25" customHeight="1">
      <c r="G71" s="55"/>
    </row>
    <row r="72" ht="14.25" customHeight="1">
      <c r="G72" s="55"/>
    </row>
    <row r="73" ht="14.25" customHeight="1">
      <c r="G73" s="55"/>
    </row>
    <row r="74" ht="14.25" customHeight="1">
      <c r="G74" s="55"/>
    </row>
    <row r="75" ht="14.25" customHeight="1">
      <c r="G75" s="55"/>
    </row>
    <row r="76" ht="14.25" customHeight="1">
      <c r="G76" s="55"/>
    </row>
    <row r="77" ht="14.25" customHeight="1">
      <c r="G77" s="55"/>
    </row>
    <row r="78" ht="14.25" customHeight="1">
      <c r="G78" s="55"/>
    </row>
    <row r="79" ht="14.25" customHeight="1">
      <c r="G79" s="55"/>
    </row>
    <row r="80" ht="14.25" customHeight="1">
      <c r="G80" s="55"/>
    </row>
    <row r="81" ht="14.25" customHeight="1">
      <c r="G81" s="55"/>
    </row>
    <row r="82" ht="14.25" customHeight="1">
      <c r="G82" s="55"/>
    </row>
    <row r="83" ht="14.25" customHeight="1">
      <c r="G83" s="55"/>
    </row>
    <row r="84" ht="14.25" customHeight="1">
      <c r="G84" s="55"/>
    </row>
    <row r="85" ht="14.25" customHeight="1">
      <c r="G85" s="55"/>
    </row>
    <row r="86" ht="14.25" customHeight="1">
      <c r="G86" s="55"/>
    </row>
    <row r="87" ht="14.25" customHeight="1">
      <c r="G87" s="55"/>
    </row>
    <row r="88" ht="14.25" customHeight="1">
      <c r="G88" s="55"/>
    </row>
    <row r="89" ht="14.25" customHeight="1">
      <c r="G89" s="55"/>
    </row>
    <row r="90" ht="14.25" customHeight="1">
      <c r="G90" s="55"/>
    </row>
    <row r="91" ht="14.25" customHeight="1">
      <c r="G91" s="55"/>
    </row>
    <row r="92" ht="14.25" customHeight="1">
      <c r="G92" s="55"/>
    </row>
    <row r="93" ht="14.25" customHeight="1">
      <c r="G93" s="55"/>
    </row>
    <row r="94" ht="14.25" customHeight="1">
      <c r="G94" s="55"/>
    </row>
    <row r="95" ht="14.25" customHeight="1">
      <c r="G95" s="55"/>
    </row>
    <row r="96" ht="14.25" customHeight="1">
      <c r="G96" s="55"/>
    </row>
    <row r="97" ht="14.25" customHeight="1">
      <c r="G97" s="55"/>
    </row>
    <row r="98" ht="14.25" customHeight="1">
      <c r="G98" s="55"/>
    </row>
    <row r="99" ht="14.25" customHeight="1">
      <c r="G99" s="55"/>
    </row>
    <row r="100" ht="14.25" customHeight="1">
      <c r="G100" s="55"/>
    </row>
    <row r="101" ht="14.25" customHeight="1">
      <c r="G101" s="55"/>
    </row>
    <row r="102" ht="14.25" customHeight="1">
      <c r="G102" s="55"/>
    </row>
    <row r="103" ht="14.25" customHeight="1">
      <c r="G103" s="55"/>
    </row>
    <row r="104" ht="14.25" customHeight="1">
      <c r="G104" s="55"/>
    </row>
    <row r="105" ht="14.25" customHeight="1">
      <c r="G105" s="55"/>
    </row>
    <row r="106" ht="14.25" customHeight="1">
      <c r="G106" s="55"/>
    </row>
    <row r="107" ht="14.25" customHeight="1">
      <c r="G107" s="55"/>
    </row>
    <row r="108" ht="14.25" customHeight="1">
      <c r="G108" s="55"/>
    </row>
    <row r="109" ht="14.25" customHeight="1">
      <c r="G109" s="55"/>
    </row>
    <row r="110" ht="14.25" customHeight="1">
      <c r="G110" s="55"/>
    </row>
    <row r="111" ht="14.25" customHeight="1">
      <c r="G111" s="55"/>
    </row>
    <row r="112" ht="14.25" customHeight="1">
      <c r="G112" s="55"/>
    </row>
    <row r="113" ht="14.25" customHeight="1">
      <c r="G113" s="55"/>
    </row>
    <row r="114" ht="14.25" customHeight="1">
      <c r="G114" s="55"/>
    </row>
    <row r="115" ht="14.25" customHeight="1">
      <c r="G115" s="55"/>
    </row>
    <row r="116" ht="14.25" customHeight="1">
      <c r="G116" s="55"/>
    </row>
    <row r="117" ht="14.25" customHeight="1">
      <c r="G117" s="55"/>
    </row>
    <row r="118" ht="14.25" customHeight="1">
      <c r="G118" s="55"/>
    </row>
    <row r="119" ht="14.25" customHeight="1">
      <c r="G119" s="55"/>
    </row>
    <row r="120" ht="14.25" customHeight="1">
      <c r="G120" s="55"/>
    </row>
    <row r="121" ht="14.25" customHeight="1">
      <c r="G121" s="55"/>
    </row>
    <row r="122" ht="14.25" customHeight="1">
      <c r="G122" s="55"/>
    </row>
    <row r="123" ht="14.25" customHeight="1">
      <c r="G123" s="55"/>
    </row>
    <row r="124" ht="14.25" customHeight="1">
      <c r="G124" s="55"/>
    </row>
    <row r="125" ht="14.25" customHeight="1">
      <c r="G125" s="55"/>
    </row>
    <row r="126" ht="14.25" customHeight="1">
      <c r="G126" s="55"/>
    </row>
    <row r="127" ht="14.25" customHeight="1">
      <c r="G127" s="55"/>
    </row>
    <row r="128" ht="14.25" customHeight="1">
      <c r="G128" s="55"/>
    </row>
    <row r="129" ht="14.25" customHeight="1">
      <c r="G129" s="55"/>
    </row>
    <row r="130" ht="14.25" customHeight="1">
      <c r="G130" s="55"/>
    </row>
    <row r="131" ht="14.25" customHeight="1">
      <c r="G131" s="55"/>
    </row>
    <row r="132" ht="14.25" customHeight="1">
      <c r="G132" s="55"/>
    </row>
    <row r="133" ht="14.25" customHeight="1">
      <c r="G133" s="55"/>
    </row>
    <row r="134" ht="14.25" customHeight="1">
      <c r="G134" s="55"/>
    </row>
    <row r="135" ht="14.25" customHeight="1">
      <c r="G135" s="55"/>
    </row>
    <row r="136" ht="14.25" customHeight="1">
      <c r="G136" s="55"/>
    </row>
    <row r="137" ht="14.25" customHeight="1">
      <c r="G137" s="55"/>
    </row>
    <row r="138" ht="14.25" customHeight="1">
      <c r="G138" s="55"/>
    </row>
    <row r="139" ht="14.25" customHeight="1">
      <c r="G139" s="55"/>
    </row>
    <row r="140" ht="14.25" customHeight="1">
      <c r="G140" s="55"/>
    </row>
    <row r="141" ht="14.25" customHeight="1">
      <c r="G141" s="55"/>
    </row>
    <row r="142" ht="14.25" customHeight="1">
      <c r="G142" s="55"/>
    </row>
    <row r="143" ht="14.25" customHeight="1">
      <c r="G143" s="55"/>
    </row>
    <row r="144" ht="14.25" customHeight="1">
      <c r="G144" s="55"/>
    </row>
    <row r="145" ht="14.25" customHeight="1">
      <c r="G145" s="55"/>
    </row>
    <row r="146" ht="14.25" customHeight="1">
      <c r="G146" s="55"/>
    </row>
    <row r="147" ht="14.25" customHeight="1">
      <c r="G147" s="55"/>
    </row>
    <row r="148" ht="14.25" customHeight="1">
      <c r="G148" s="55"/>
    </row>
    <row r="149" ht="14.25" customHeight="1">
      <c r="G149" s="55"/>
    </row>
    <row r="150" ht="14.25" customHeight="1">
      <c r="G150" s="55"/>
    </row>
    <row r="151" ht="14.25" customHeight="1">
      <c r="G151" s="55"/>
    </row>
    <row r="152" ht="14.25" customHeight="1">
      <c r="G152" s="55"/>
    </row>
    <row r="153" ht="14.25" customHeight="1">
      <c r="G153" s="55"/>
    </row>
    <row r="154" ht="14.25" customHeight="1">
      <c r="G154" s="55"/>
    </row>
    <row r="155" ht="14.25" customHeight="1">
      <c r="G155" s="55"/>
    </row>
    <row r="156" ht="14.25" customHeight="1">
      <c r="G156" s="55"/>
    </row>
    <row r="157" ht="14.25" customHeight="1">
      <c r="G157" s="55"/>
    </row>
    <row r="158" ht="14.25" customHeight="1">
      <c r="G158" s="55"/>
    </row>
    <row r="159" ht="14.25" customHeight="1">
      <c r="G159" s="55"/>
    </row>
    <row r="160" ht="14.25" customHeight="1">
      <c r="G160" s="55"/>
    </row>
    <row r="161" ht="14.25" customHeight="1">
      <c r="G161" s="55"/>
    </row>
    <row r="162" ht="14.25" customHeight="1">
      <c r="G162" s="55"/>
    </row>
    <row r="163" ht="14.25" customHeight="1">
      <c r="G163" s="55"/>
    </row>
    <row r="164" ht="14.25" customHeight="1">
      <c r="G164" s="55"/>
    </row>
    <row r="165" ht="14.25" customHeight="1">
      <c r="G165" s="55"/>
    </row>
    <row r="166" ht="14.25" customHeight="1">
      <c r="G166" s="55"/>
    </row>
    <row r="167" ht="14.25" customHeight="1">
      <c r="G167" s="55"/>
    </row>
    <row r="168" ht="14.25" customHeight="1">
      <c r="G168" s="55"/>
    </row>
    <row r="169" ht="14.25" customHeight="1">
      <c r="G169" s="55"/>
    </row>
    <row r="170" ht="14.25" customHeight="1">
      <c r="G170" s="55"/>
    </row>
    <row r="171" ht="14.25" customHeight="1">
      <c r="G171" s="55"/>
    </row>
    <row r="172" ht="14.25" customHeight="1">
      <c r="G172" s="55"/>
    </row>
    <row r="173" ht="14.25" customHeight="1">
      <c r="G173" s="55"/>
    </row>
    <row r="174" ht="14.25" customHeight="1">
      <c r="G174" s="55"/>
    </row>
    <row r="175" ht="14.25" customHeight="1">
      <c r="G175" s="55"/>
    </row>
    <row r="176" ht="14.25" customHeight="1">
      <c r="G176" s="55"/>
    </row>
    <row r="177" ht="14.25" customHeight="1">
      <c r="G177" s="55"/>
    </row>
    <row r="178" ht="14.25" customHeight="1">
      <c r="G178" s="55"/>
    </row>
    <row r="179" ht="14.25" customHeight="1">
      <c r="G179" s="55"/>
    </row>
    <row r="180" ht="14.25" customHeight="1">
      <c r="G180" s="55"/>
    </row>
    <row r="181" ht="14.25" customHeight="1">
      <c r="G181" s="55"/>
    </row>
    <row r="182" ht="14.25" customHeight="1">
      <c r="G182" s="55"/>
    </row>
    <row r="183" ht="14.25" customHeight="1">
      <c r="G183" s="55"/>
    </row>
    <row r="184" ht="14.25" customHeight="1">
      <c r="G184" s="55"/>
    </row>
    <row r="185" ht="14.25" customHeight="1">
      <c r="G185" s="55"/>
    </row>
    <row r="186" ht="14.25" customHeight="1">
      <c r="G186" s="55"/>
    </row>
    <row r="187" ht="14.25" customHeight="1">
      <c r="G187" s="55"/>
    </row>
    <row r="188" ht="14.25" customHeight="1">
      <c r="G188" s="55"/>
    </row>
    <row r="189" ht="14.25" customHeight="1">
      <c r="G189" s="55"/>
    </row>
    <row r="190" ht="14.25" customHeight="1">
      <c r="G190" s="55"/>
    </row>
    <row r="191" ht="14.25" customHeight="1">
      <c r="G191" s="55"/>
    </row>
    <row r="192" ht="14.25" customHeight="1">
      <c r="G192" s="55"/>
    </row>
    <row r="193" ht="14.25" customHeight="1">
      <c r="G193" s="55"/>
    </row>
    <row r="194" ht="14.25" customHeight="1">
      <c r="G194" s="55"/>
    </row>
    <row r="195" ht="14.25" customHeight="1">
      <c r="G195" s="55"/>
    </row>
    <row r="196" ht="14.25" customHeight="1">
      <c r="G196" s="55"/>
    </row>
    <row r="197" ht="14.25" customHeight="1">
      <c r="G197" s="55"/>
    </row>
    <row r="198" ht="14.25" customHeight="1">
      <c r="G198" s="55"/>
    </row>
    <row r="199" ht="14.25" customHeight="1">
      <c r="G199" s="55"/>
    </row>
    <row r="200" ht="14.25" customHeight="1">
      <c r="G200" s="55"/>
    </row>
    <row r="201" ht="14.25" customHeight="1">
      <c r="G201" s="55"/>
    </row>
    <row r="202" ht="14.25" customHeight="1">
      <c r="G202" s="55"/>
    </row>
    <row r="203" ht="14.25" customHeight="1">
      <c r="G203" s="55"/>
    </row>
    <row r="204" ht="14.25" customHeight="1">
      <c r="G204" s="55"/>
    </row>
    <row r="205" ht="14.25" customHeight="1">
      <c r="G205" s="55"/>
    </row>
    <row r="206" ht="14.25" customHeight="1">
      <c r="G206" s="55"/>
    </row>
    <row r="207" ht="14.25" customHeight="1">
      <c r="G207" s="55"/>
    </row>
    <row r="208" ht="14.25" customHeight="1">
      <c r="G208" s="55"/>
    </row>
    <row r="209" ht="14.25" customHeight="1">
      <c r="G209" s="55"/>
    </row>
    <row r="210" ht="14.25" customHeight="1">
      <c r="G210" s="55"/>
    </row>
    <row r="211" ht="14.25" customHeight="1">
      <c r="G211" s="55"/>
    </row>
    <row r="212" ht="14.25" customHeight="1">
      <c r="G212" s="55"/>
    </row>
    <row r="213" ht="14.25" customHeight="1">
      <c r="G213" s="55"/>
    </row>
    <row r="214" ht="14.25" customHeight="1">
      <c r="G214" s="55"/>
    </row>
    <row r="215" ht="14.25" customHeight="1">
      <c r="G215" s="55"/>
    </row>
    <row r="216" ht="14.25" customHeight="1">
      <c r="G216" s="55"/>
    </row>
    <row r="217" ht="14.25" customHeight="1">
      <c r="G217" s="55"/>
    </row>
    <row r="218" ht="14.25" customHeight="1">
      <c r="G218" s="55"/>
    </row>
    <row r="219" ht="14.25" customHeight="1">
      <c r="G219" s="55"/>
    </row>
    <row r="220" ht="14.25" customHeight="1">
      <c r="G220" s="55"/>
    </row>
    <row r="221" ht="14.25" customHeight="1">
      <c r="G221" s="55"/>
    </row>
    <row r="222" ht="14.25" customHeight="1">
      <c r="G222" s="55"/>
    </row>
    <row r="223" ht="14.25" customHeight="1">
      <c r="G223" s="55"/>
    </row>
    <row r="224" ht="14.25" customHeight="1">
      <c r="G224" s="55"/>
    </row>
    <row r="225" ht="14.25" customHeight="1">
      <c r="G225" s="55"/>
    </row>
    <row r="226" ht="14.25" customHeight="1">
      <c r="G226" s="55"/>
    </row>
    <row r="227" ht="14.25" customHeight="1">
      <c r="G227" s="55"/>
    </row>
    <row r="228" ht="14.25" customHeight="1">
      <c r="G228" s="55"/>
    </row>
    <row r="229" ht="14.25" customHeight="1">
      <c r="G229" s="55"/>
    </row>
    <row r="230" ht="14.25" customHeight="1">
      <c r="G230" s="55"/>
    </row>
    <row r="231" ht="14.25" customHeight="1">
      <c r="G231" s="55"/>
    </row>
    <row r="232" ht="14.25" customHeight="1">
      <c r="G232" s="55"/>
    </row>
    <row r="233" ht="14.25" customHeight="1">
      <c r="G233" s="55"/>
    </row>
    <row r="234" ht="14.25" customHeight="1">
      <c r="G234" s="55"/>
    </row>
    <row r="235" ht="14.25" customHeight="1">
      <c r="G235" s="55"/>
    </row>
    <row r="236" ht="14.25" customHeight="1">
      <c r="G236" s="55"/>
    </row>
    <row r="237" ht="14.25" customHeight="1">
      <c r="G237" s="55"/>
    </row>
    <row r="238" ht="14.25" customHeight="1">
      <c r="G238" s="55"/>
    </row>
    <row r="239" ht="14.25" customHeight="1">
      <c r="G239" s="55"/>
    </row>
    <row r="240" ht="14.25" customHeight="1">
      <c r="G240" s="55"/>
    </row>
    <row r="241" ht="14.25" customHeight="1">
      <c r="G241" s="55"/>
    </row>
    <row r="242" ht="14.25" customHeight="1">
      <c r="G242" s="55"/>
    </row>
    <row r="243" ht="14.25" customHeight="1">
      <c r="G243" s="55"/>
    </row>
    <row r="244" ht="14.25" customHeight="1">
      <c r="G244" s="55"/>
    </row>
    <row r="245" ht="14.25" customHeight="1">
      <c r="G245" s="55"/>
    </row>
    <row r="246" ht="14.25" customHeight="1">
      <c r="G246" s="55"/>
    </row>
    <row r="247" ht="14.25" customHeight="1">
      <c r="G247" s="55"/>
    </row>
    <row r="248" ht="14.25" customHeight="1">
      <c r="G248" s="55"/>
    </row>
    <row r="249" ht="14.25" customHeight="1">
      <c r="G249" s="55"/>
    </row>
    <row r="250" ht="14.25" customHeight="1">
      <c r="G250" s="55"/>
    </row>
    <row r="251" ht="14.25" customHeight="1">
      <c r="G251" s="55"/>
    </row>
    <row r="252" ht="14.25" customHeight="1">
      <c r="G252" s="55"/>
    </row>
    <row r="253" ht="14.25" customHeight="1">
      <c r="G253" s="55"/>
    </row>
    <row r="254" ht="14.25" customHeight="1">
      <c r="G254" s="55"/>
    </row>
    <row r="255" ht="14.25" customHeight="1">
      <c r="G255" s="55"/>
    </row>
    <row r="256" ht="14.25" customHeight="1">
      <c r="G256" s="55"/>
    </row>
    <row r="257" ht="14.25" customHeight="1">
      <c r="G257" s="55"/>
    </row>
    <row r="258" ht="14.25" customHeight="1">
      <c r="G258" s="55"/>
    </row>
    <row r="259" ht="14.25" customHeight="1">
      <c r="G259" s="55"/>
    </row>
    <row r="260" ht="14.25" customHeight="1">
      <c r="G260" s="55"/>
    </row>
    <row r="261" ht="14.25" customHeight="1">
      <c r="G261" s="55"/>
    </row>
    <row r="262" ht="14.25" customHeight="1">
      <c r="G262" s="55"/>
    </row>
    <row r="263" ht="14.25" customHeight="1">
      <c r="G263" s="55"/>
    </row>
    <row r="264" ht="14.25" customHeight="1">
      <c r="G264" s="55"/>
    </row>
    <row r="265" ht="14.25" customHeight="1">
      <c r="G265" s="55"/>
    </row>
    <row r="266" ht="14.25" customHeight="1">
      <c r="G266" s="55"/>
    </row>
    <row r="267" ht="14.25" customHeight="1">
      <c r="G267" s="55"/>
    </row>
    <row r="268" ht="14.25" customHeight="1">
      <c r="G268" s="55"/>
    </row>
    <row r="269" ht="14.25" customHeight="1">
      <c r="G269" s="55"/>
    </row>
    <row r="270" ht="14.25" customHeight="1">
      <c r="G270" s="55"/>
    </row>
    <row r="271" ht="14.25" customHeight="1">
      <c r="G271" s="55"/>
    </row>
    <row r="272" ht="14.25" customHeight="1">
      <c r="G272" s="55"/>
    </row>
    <row r="273" ht="14.25" customHeight="1">
      <c r="G273" s="55"/>
    </row>
    <row r="274" ht="14.25" customHeight="1">
      <c r="G274" s="55"/>
    </row>
    <row r="275" ht="14.25" customHeight="1">
      <c r="G275" s="55"/>
    </row>
    <row r="276" ht="14.25" customHeight="1">
      <c r="G276" s="55"/>
    </row>
    <row r="277" ht="14.25" customHeight="1">
      <c r="G277" s="55"/>
    </row>
    <row r="278" ht="14.25" customHeight="1">
      <c r="G278" s="55"/>
    </row>
    <row r="279" ht="14.25" customHeight="1">
      <c r="G279" s="55"/>
    </row>
    <row r="280" ht="14.25" customHeight="1">
      <c r="G280" s="55"/>
    </row>
    <row r="281" ht="14.25" customHeight="1">
      <c r="G281" s="55"/>
    </row>
    <row r="282" ht="14.25" customHeight="1">
      <c r="G282" s="55"/>
    </row>
    <row r="283" ht="14.25" customHeight="1">
      <c r="G283" s="55"/>
    </row>
    <row r="284" ht="14.25" customHeight="1">
      <c r="G284" s="55"/>
    </row>
    <row r="285" ht="14.25" customHeight="1">
      <c r="G285" s="55"/>
    </row>
    <row r="286" ht="14.25" customHeight="1">
      <c r="G286" s="55"/>
    </row>
    <row r="287" ht="14.25" customHeight="1">
      <c r="G287" s="55"/>
    </row>
    <row r="288" ht="14.25" customHeight="1">
      <c r="G288" s="55"/>
    </row>
    <row r="289" ht="14.25" customHeight="1">
      <c r="G289" s="55"/>
    </row>
    <row r="290" ht="14.25" customHeight="1">
      <c r="G290" s="55"/>
    </row>
    <row r="291" ht="14.25" customHeight="1">
      <c r="G291" s="55"/>
    </row>
    <row r="292" ht="14.25" customHeight="1">
      <c r="G292" s="55"/>
    </row>
    <row r="293" ht="14.25" customHeight="1">
      <c r="G293" s="55"/>
    </row>
    <row r="294" ht="14.25" customHeight="1">
      <c r="G294" s="55"/>
    </row>
    <row r="295" ht="14.25" customHeight="1">
      <c r="G295" s="55"/>
    </row>
    <row r="296" ht="14.25" customHeight="1">
      <c r="G296" s="55"/>
    </row>
    <row r="297" ht="14.25" customHeight="1">
      <c r="G297" s="55"/>
    </row>
    <row r="298" ht="14.25" customHeight="1">
      <c r="G298" s="55"/>
    </row>
    <row r="299" ht="14.25" customHeight="1">
      <c r="G299" s="55"/>
    </row>
    <row r="300" ht="14.25" customHeight="1">
      <c r="G300" s="55"/>
    </row>
    <row r="301" ht="14.25" customHeight="1">
      <c r="G301" s="55"/>
    </row>
    <row r="302" ht="14.25" customHeight="1">
      <c r="G302" s="55"/>
    </row>
    <row r="303" ht="14.25" customHeight="1">
      <c r="G303" s="55"/>
    </row>
    <row r="304" ht="14.25" customHeight="1">
      <c r="G304" s="55"/>
    </row>
    <row r="305" ht="14.25" customHeight="1">
      <c r="G305" s="55"/>
    </row>
    <row r="306" ht="14.25" customHeight="1">
      <c r="G306" s="55"/>
    </row>
    <row r="307" ht="14.25" customHeight="1">
      <c r="G307" s="55"/>
    </row>
    <row r="308" ht="14.25" customHeight="1">
      <c r="G308" s="55"/>
    </row>
    <row r="309" ht="14.25" customHeight="1">
      <c r="G309" s="55"/>
    </row>
    <row r="310" ht="14.25" customHeight="1">
      <c r="G310" s="55"/>
    </row>
    <row r="311" ht="14.25" customHeight="1">
      <c r="G311" s="55"/>
    </row>
    <row r="312" ht="14.25" customHeight="1">
      <c r="G312" s="55"/>
    </row>
    <row r="313" ht="14.25" customHeight="1">
      <c r="G313" s="55"/>
    </row>
    <row r="314" ht="14.25" customHeight="1">
      <c r="G314" s="55"/>
    </row>
    <row r="315" ht="14.25" customHeight="1">
      <c r="G315" s="55"/>
    </row>
    <row r="316" ht="14.25" customHeight="1">
      <c r="G316" s="55"/>
    </row>
    <row r="317" ht="14.25" customHeight="1">
      <c r="G317" s="55"/>
    </row>
    <row r="318" ht="14.25" customHeight="1">
      <c r="G318" s="55"/>
    </row>
    <row r="319" ht="14.25" customHeight="1">
      <c r="G319" s="55"/>
    </row>
    <row r="320" ht="14.25" customHeight="1">
      <c r="G320" s="55"/>
    </row>
    <row r="321" ht="14.25" customHeight="1">
      <c r="G321" s="55"/>
    </row>
    <row r="322" ht="14.25" customHeight="1">
      <c r="G322" s="55"/>
    </row>
    <row r="323" ht="14.25" customHeight="1">
      <c r="G323" s="55"/>
    </row>
    <row r="324" ht="14.25" customHeight="1">
      <c r="G324" s="55"/>
    </row>
    <row r="325" ht="14.25" customHeight="1">
      <c r="G325" s="55"/>
    </row>
    <row r="326" ht="14.25" customHeight="1">
      <c r="G326" s="55"/>
    </row>
    <row r="327" ht="14.25" customHeight="1">
      <c r="G327" s="55"/>
    </row>
    <row r="328" ht="14.25" customHeight="1">
      <c r="G328" s="55"/>
    </row>
    <row r="329" ht="14.25" customHeight="1">
      <c r="G329" s="55"/>
    </row>
    <row r="330" ht="14.25" customHeight="1">
      <c r="G330" s="55"/>
    </row>
    <row r="331" ht="14.25" customHeight="1">
      <c r="G331" s="55"/>
    </row>
    <row r="332" ht="14.25" customHeight="1">
      <c r="G332" s="55"/>
    </row>
    <row r="333" ht="14.25" customHeight="1">
      <c r="G333" s="55"/>
    </row>
    <row r="334" ht="14.25" customHeight="1">
      <c r="G334" s="55"/>
    </row>
    <row r="335" ht="14.25" customHeight="1">
      <c r="G335" s="55"/>
    </row>
    <row r="336" ht="14.25" customHeight="1">
      <c r="G336" s="55"/>
    </row>
    <row r="337" ht="14.25" customHeight="1">
      <c r="G337" s="55"/>
    </row>
    <row r="338" ht="14.25" customHeight="1">
      <c r="G338" s="55"/>
    </row>
    <row r="339" ht="14.25" customHeight="1">
      <c r="G339" s="55"/>
    </row>
    <row r="340" ht="14.25" customHeight="1">
      <c r="G340" s="55"/>
    </row>
    <row r="341" ht="14.25" customHeight="1">
      <c r="G341" s="55"/>
    </row>
    <row r="342" ht="14.25" customHeight="1">
      <c r="G342" s="55"/>
    </row>
    <row r="343" ht="14.25" customHeight="1">
      <c r="G343" s="55"/>
    </row>
    <row r="344" ht="14.25" customHeight="1">
      <c r="G344" s="55"/>
    </row>
    <row r="345" ht="14.25" customHeight="1">
      <c r="G345" s="55"/>
    </row>
    <row r="346" ht="14.25" customHeight="1">
      <c r="G346" s="55"/>
    </row>
    <row r="347" ht="14.25" customHeight="1">
      <c r="G347" s="55"/>
    </row>
    <row r="348" ht="14.25" customHeight="1">
      <c r="G348" s="55"/>
    </row>
    <row r="349" ht="14.25" customHeight="1">
      <c r="G349" s="55"/>
    </row>
    <row r="350" ht="14.25" customHeight="1">
      <c r="G350" s="55"/>
    </row>
    <row r="351" ht="14.25" customHeight="1">
      <c r="G351" s="55"/>
    </row>
    <row r="352" ht="14.25" customHeight="1">
      <c r="G352" s="55"/>
    </row>
    <row r="353" ht="14.25" customHeight="1">
      <c r="G353" s="55"/>
    </row>
    <row r="354" ht="14.25" customHeight="1">
      <c r="G354" s="55"/>
    </row>
    <row r="355" ht="14.25" customHeight="1">
      <c r="G355" s="55"/>
    </row>
    <row r="356" ht="14.25" customHeight="1">
      <c r="G356" s="55"/>
    </row>
    <row r="357" ht="14.25" customHeight="1">
      <c r="G357" s="55"/>
    </row>
    <row r="358" ht="14.25" customHeight="1">
      <c r="G358" s="55"/>
    </row>
    <row r="359" ht="14.25" customHeight="1">
      <c r="G359" s="55"/>
    </row>
    <row r="360" ht="14.25" customHeight="1">
      <c r="G360" s="55"/>
    </row>
    <row r="361" ht="14.25" customHeight="1">
      <c r="G361" s="55"/>
    </row>
    <row r="362" ht="14.25" customHeight="1">
      <c r="G362" s="55"/>
    </row>
    <row r="363" ht="14.25" customHeight="1">
      <c r="G363" s="55"/>
    </row>
    <row r="364" ht="14.25" customHeight="1">
      <c r="G364" s="55"/>
    </row>
    <row r="365" ht="14.25" customHeight="1">
      <c r="G365" s="55"/>
    </row>
    <row r="366" ht="14.25" customHeight="1">
      <c r="G366" s="55"/>
    </row>
    <row r="367" ht="14.25" customHeight="1">
      <c r="G367" s="55"/>
    </row>
    <row r="368" ht="14.25" customHeight="1">
      <c r="G368" s="55"/>
    </row>
    <row r="369" ht="14.25" customHeight="1">
      <c r="G369" s="55"/>
    </row>
    <row r="370" ht="14.25" customHeight="1">
      <c r="G370" s="55"/>
    </row>
    <row r="371" ht="14.25" customHeight="1">
      <c r="G371" s="55"/>
    </row>
    <row r="372" ht="14.25" customHeight="1">
      <c r="G372" s="55"/>
    </row>
    <row r="373" ht="14.25" customHeight="1">
      <c r="G373" s="55"/>
    </row>
    <row r="374" ht="14.25" customHeight="1">
      <c r="G374" s="55"/>
    </row>
    <row r="375" ht="14.25" customHeight="1">
      <c r="G375" s="55"/>
    </row>
    <row r="376" ht="14.25" customHeight="1">
      <c r="G376" s="55"/>
    </row>
    <row r="377" ht="14.25" customHeight="1">
      <c r="G377" s="55"/>
    </row>
    <row r="378" ht="14.25" customHeight="1">
      <c r="G378" s="55"/>
    </row>
    <row r="379" ht="14.25" customHeight="1">
      <c r="G379" s="55"/>
    </row>
    <row r="380" ht="14.25" customHeight="1">
      <c r="G380" s="55"/>
    </row>
    <row r="381" ht="14.25" customHeight="1">
      <c r="G381" s="55"/>
    </row>
    <row r="382" ht="14.25" customHeight="1">
      <c r="G382" s="55"/>
    </row>
    <row r="383" ht="14.25" customHeight="1">
      <c r="G383" s="55"/>
    </row>
    <row r="384" ht="14.25" customHeight="1">
      <c r="G384" s="55"/>
    </row>
    <row r="385" ht="14.25" customHeight="1">
      <c r="G385" s="55"/>
    </row>
    <row r="386" ht="14.25" customHeight="1">
      <c r="G386" s="55"/>
    </row>
    <row r="387" ht="14.25" customHeight="1">
      <c r="G387" s="55"/>
    </row>
    <row r="388" ht="14.25" customHeight="1">
      <c r="G388" s="55"/>
    </row>
    <row r="389" ht="14.25" customHeight="1">
      <c r="G389" s="55"/>
    </row>
    <row r="390" ht="14.25" customHeight="1">
      <c r="G390" s="55"/>
    </row>
    <row r="391" ht="14.25" customHeight="1">
      <c r="G391" s="55"/>
    </row>
    <row r="392" ht="14.25" customHeight="1">
      <c r="G392" s="55"/>
    </row>
    <row r="393" ht="14.25" customHeight="1">
      <c r="G393" s="55"/>
    </row>
    <row r="394" ht="14.25" customHeight="1">
      <c r="G394" s="55"/>
    </row>
    <row r="395" ht="14.25" customHeight="1">
      <c r="G395" s="55"/>
    </row>
    <row r="396" ht="14.25" customHeight="1">
      <c r="G396" s="55"/>
    </row>
    <row r="397" ht="14.25" customHeight="1">
      <c r="G397" s="55"/>
    </row>
    <row r="398" ht="14.25" customHeight="1">
      <c r="G398" s="55"/>
    </row>
    <row r="399" ht="14.25" customHeight="1">
      <c r="G399" s="55"/>
    </row>
    <row r="400" ht="14.25" customHeight="1">
      <c r="G400" s="55"/>
    </row>
    <row r="401" ht="14.25" customHeight="1">
      <c r="G401" s="55"/>
    </row>
    <row r="402" ht="14.25" customHeight="1">
      <c r="G402" s="55"/>
    </row>
    <row r="403" ht="14.25" customHeight="1">
      <c r="G403" s="55"/>
    </row>
    <row r="404" ht="14.25" customHeight="1">
      <c r="G404" s="55"/>
    </row>
    <row r="405" ht="14.25" customHeight="1">
      <c r="G405" s="55"/>
    </row>
    <row r="406" ht="14.25" customHeight="1">
      <c r="G406" s="55"/>
    </row>
    <row r="407" ht="14.25" customHeight="1">
      <c r="G407" s="55"/>
    </row>
    <row r="408" ht="14.25" customHeight="1">
      <c r="G408" s="55"/>
    </row>
    <row r="409" ht="14.25" customHeight="1">
      <c r="G409" s="55"/>
    </row>
    <row r="410" ht="14.25" customHeight="1">
      <c r="G410" s="55"/>
    </row>
    <row r="411" ht="14.25" customHeight="1">
      <c r="G411" s="55"/>
    </row>
    <row r="412" ht="14.25" customHeight="1">
      <c r="G412" s="55"/>
    </row>
    <row r="413" ht="14.25" customHeight="1">
      <c r="G413" s="55"/>
    </row>
    <row r="414" ht="14.25" customHeight="1">
      <c r="G414" s="55"/>
    </row>
    <row r="415" ht="14.25" customHeight="1">
      <c r="G415" s="55"/>
    </row>
    <row r="416" ht="14.25" customHeight="1">
      <c r="G416" s="55"/>
    </row>
    <row r="417" ht="14.25" customHeight="1">
      <c r="G417" s="55"/>
    </row>
    <row r="418" ht="14.25" customHeight="1">
      <c r="G418" s="55"/>
    </row>
    <row r="419" ht="14.25" customHeight="1">
      <c r="G419" s="55"/>
    </row>
    <row r="420" ht="14.25" customHeight="1">
      <c r="G420" s="55"/>
    </row>
    <row r="421" ht="14.25" customHeight="1">
      <c r="G421" s="55"/>
    </row>
    <row r="422" ht="14.25" customHeight="1">
      <c r="G422" s="55"/>
    </row>
    <row r="423" ht="14.25" customHeight="1">
      <c r="G423" s="55"/>
    </row>
    <row r="424" ht="14.25" customHeight="1">
      <c r="G424" s="55"/>
    </row>
    <row r="425" ht="14.25" customHeight="1">
      <c r="G425" s="55"/>
    </row>
    <row r="426" ht="14.25" customHeight="1">
      <c r="G426" s="55"/>
    </row>
    <row r="427" ht="14.25" customHeight="1">
      <c r="G427" s="55"/>
    </row>
    <row r="428" ht="14.25" customHeight="1">
      <c r="G428" s="55"/>
    </row>
    <row r="429" ht="14.25" customHeight="1">
      <c r="G429" s="55"/>
    </row>
    <row r="430" ht="14.25" customHeight="1">
      <c r="G430" s="55"/>
    </row>
    <row r="431" ht="14.25" customHeight="1">
      <c r="G431" s="55"/>
    </row>
    <row r="432" ht="14.25" customHeight="1">
      <c r="G432" s="55"/>
    </row>
    <row r="433" ht="14.25" customHeight="1">
      <c r="G433" s="55"/>
    </row>
    <row r="434" ht="14.25" customHeight="1">
      <c r="G434" s="55"/>
    </row>
    <row r="435" ht="14.25" customHeight="1">
      <c r="G435" s="55"/>
    </row>
    <row r="436" ht="14.25" customHeight="1">
      <c r="G436" s="55"/>
    </row>
    <row r="437" ht="14.25" customHeight="1">
      <c r="G437" s="55"/>
    </row>
    <row r="438" ht="14.25" customHeight="1">
      <c r="G438" s="55"/>
    </row>
    <row r="439" ht="14.25" customHeight="1">
      <c r="G439" s="55"/>
    </row>
    <row r="440" ht="14.25" customHeight="1">
      <c r="G440" s="55"/>
    </row>
    <row r="441" ht="14.25" customHeight="1">
      <c r="G441" s="55"/>
    </row>
    <row r="442" ht="14.25" customHeight="1">
      <c r="G442" s="55"/>
    </row>
    <row r="443" ht="14.25" customHeight="1">
      <c r="G443" s="55"/>
    </row>
    <row r="444" ht="14.25" customHeight="1">
      <c r="G444" s="55"/>
    </row>
    <row r="445" ht="14.25" customHeight="1">
      <c r="G445" s="55"/>
    </row>
    <row r="446" ht="14.25" customHeight="1">
      <c r="G446" s="55"/>
    </row>
    <row r="447" ht="14.25" customHeight="1">
      <c r="G447" s="55"/>
    </row>
    <row r="448" ht="14.25" customHeight="1">
      <c r="G448" s="55"/>
    </row>
    <row r="449" ht="14.25" customHeight="1">
      <c r="G449" s="55"/>
    </row>
    <row r="450" ht="14.25" customHeight="1">
      <c r="G450" s="55"/>
    </row>
    <row r="451" ht="14.25" customHeight="1">
      <c r="G451" s="55"/>
    </row>
    <row r="452" ht="14.25" customHeight="1">
      <c r="G452" s="55"/>
    </row>
    <row r="453" ht="14.25" customHeight="1">
      <c r="G453" s="55"/>
    </row>
    <row r="454" ht="14.25" customHeight="1">
      <c r="G454" s="55"/>
    </row>
    <row r="455" ht="14.25" customHeight="1">
      <c r="G455" s="55"/>
    </row>
    <row r="456" ht="14.25" customHeight="1">
      <c r="G456" s="55"/>
    </row>
    <row r="457" ht="14.25" customHeight="1">
      <c r="G457" s="55"/>
    </row>
    <row r="458" ht="14.25" customHeight="1">
      <c r="G458" s="55"/>
    </row>
    <row r="459" ht="14.25" customHeight="1">
      <c r="G459" s="55"/>
    </row>
    <row r="460" ht="14.25" customHeight="1">
      <c r="G460" s="55"/>
    </row>
    <row r="461" ht="14.25" customHeight="1">
      <c r="G461" s="55"/>
    </row>
    <row r="462" ht="14.25" customHeight="1">
      <c r="G462" s="55"/>
    </row>
    <row r="463" ht="14.25" customHeight="1">
      <c r="G463" s="55"/>
    </row>
    <row r="464" ht="14.25" customHeight="1">
      <c r="G464" s="55"/>
    </row>
    <row r="465" ht="14.25" customHeight="1">
      <c r="G465" s="55"/>
    </row>
    <row r="466" ht="14.25" customHeight="1">
      <c r="G466" s="55"/>
    </row>
    <row r="467" ht="14.25" customHeight="1">
      <c r="G467" s="55"/>
    </row>
    <row r="468" ht="14.25" customHeight="1">
      <c r="G468" s="55"/>
    </row>
    <row r="469" ht="14.25" customHeight="1">
      <c r="G469" s="55"/>
    </row>
    <row r="470" ht="14.25" customHeight="1">
      <c r="G470" s="55"/>
    </row>
    <row r="471" ht="14.25" customHeight="1">
      <c r="G471" s="55"/>
    </row>
    <row r="472" ht="14.25" customHeight="1">
      <c r="G472" s="55"/>
    </row>
    <row r="473" ht="14.25" customHeight="1">
      <c r="G473" s="55"/>
    </row>
    <row r="474" ht="14.25" customHeight="1">
      <c r="G474" s="55"/>
    </row>
    <row r="475" ht="14.25" customHeight="1">
      <c r="G475" s="55"/>
    </row>
    <row r="476" ht="14.25" customHeight="1">
      <c r="G476" s="55"/>
    </row>
    <row r="477" ht="14.25" customHeight="1">
      <c r="G477" s="55"/>
    </row>
    <row r="478" ht="14.25" customHeight="1">
      <c r="G478" s="55"/>
    </row>
    <row r="479" ht="14.25" customHeight="1">
      <c r="G479" s="55"/>
    </row>
    <row r="480" ht="14.25" customHeight="1">
      <c r="G480" s="55"/>
    </row>
    <row r="481" ht="14.25" customHeight="1">
      <c r="G481" s="55"/>
    </row>
    <row r="482" ht="14.25" customHeight="1">
      <c r="G482" s="55"/>
    </row>
    <row r="483" ht="14.25" customHeight="1">
      <c r="G483" s="55"/>
    </row>
    <row r="484" ht="14.25" customHeight="1">
      <c r="G484" s="55"/>
    </row>
    <row r="485" ht="14.25" customHeight="1">
      <c r="G485" s="55"/>
    </row>
    <row r="486" ht="14.25" customHeight="1">
      <c r="G486" s="55"/>
    </row>
    <row r="487" ht="14.25" customHeight="1">
      <c r="G487" s="55"/>
    </row>
    <row r="488" ht="14.25" customHeight="1">
      <c r="G488" s="55"/>
    </row>
    <row r="489" ht="14.25" customHeight="1">
      <c r="G489" s="55"/>
    </row>
    <row r="490" ht="14.25" customHeight="1">
      <c r="G490" s="55"/>
    </row>
    <row r="491" ht="14.25" customHeight="1">
      <c r="G491" s="55"/>
    </row>
    <row r="492" ht="14.25" customHeight="1">
      <c r="G492" s="55"/>
    </row>
    <row r="493" ht="14.25" customHeight="1">
      <c r="G493" s="55"/>
    </row>
    <row r="494" ht="14.25" customHeight="1">
      <c r="G494" s="55"/>
    </row>
    <row r="495" ht="14.25" customHeight="1">
      <c r="G495" s="55"/>
    </row>
    <row r="496" ht="14.25" customHeight="1">
      <c r="G496" s="55"/>
    </row>
    <row r="497" ht="14.25" customHeight="1">
      <c r="G497" s="55"/>
    </row>
    <row r="498" ht="14.25" customHeight="1">
      <c r="G498" s="55"/>
    </row>
    <row r="499" ht="14.25" customHeight="1">
      <c r="G499" s="55"/>
    </row>
    <row r="500" ht="14.25" customHeight="1">
      <c r="G500" s="55"/>
    </row>
    <row r="501" ht="14.25" customHeight="1">
      <c r="G501" s="55"/>
    </row>
    <row r="502" ht="14.25" customHeight="1">
      <c r="G502" s="55"/>
    </row>
    <row r="503" ht="14.25" customHeight="1">
      <c r="G503" s="55"/>
    </row>
    <row r="504" ht="14.25" customHeight="1">
      <c r="G504" s="55"/>
    </row>
    <row r="505" ht="14.25" customHeight="1">
      <c r="G505" s="55"/>
    </row>
    <row r="506" ht="14.25" customHeight="1">
      <c r="G506" s="55"/>
    </row>
    <row r="507" ht="14.25" customHeight="1">
      <c r="G507" s="55"/>
    </row>
    <row r="508" ht="14.25" customHeight="1">
      <c r="G508" s="55"/>
    </row>
    <row r="509" ht="14.25" customHeight="1">
      <c r="G509" s="55"/>
    </row>
    <row r="510" ht="14.25" customHeight="1">
      <c r="G510" s="55"/>
    </row>
    <row r="511" ht="14.25" customHeight="1">
      <c r="G511" s="55"/>
    </row>
    <row r="512" ht="14.25" customHeight="1">
      <c r="G512" s="55"/>
    </row>
    <row r="513" ht="14.25" customHeight="1">
      <c r="G513" s="55"/>
    </row>
    <row r="514" ht="14.25" customHeight="1">
      <c r="G514" s="55"/>
    </row>
    <row r="515" ht="14.25" customHeight="1">
      <c r="G515" s="55"/>
    </row>
    <row r="516" ht="14.25" customHeight="1">
      <c r="G516" s="55"/>
    </row>
    <row r="517" ht="14.25" customHeight="1">
      <c r="G517" s="55"/>
    </row>
    <row r="518" ht="14.25" customHeight="1">
      <c r="G518" s="55"/>
    </row>
    <row r="519" ht="14.25" customHeight="1">
      <c r="G519" s="55"/>
    </row>
    <row r="520" ht="14.25" customHeight="1">
      <c r="G520" s="55"/>
    </row>
    <row r="521" ht="14.25" customHeight="1">
      <c r="G521" s="55"/>
    </row>
    <row r="522" ht="14.25" customHeight="1">
      <c r="G522" s="55"/>
    </row>
    <row r="523" ht="14.25" customHeight="1">
      <c r="G523" s="55"/>
    </row>
    <row r="524" ht="14.25" customHeight="1">
      <c r="G524" s="55"/>
    </row>
    <row r="525" ht="14.25" customHeight="1">
      <c r="G525" s="55"/>
    </row>
    <row r="526" ht="14.25" customHeight="1">
      <c r="G526" s="55"/>
    </row>
    <row r="527" ht="14.25" customHeight="1">
      <c r="G527" s="55"/>
    </row>
    <row r="528" ht="14.25" customHeight="1">
      <c r="G528" s="55"/>
    </row>
    <row r="529" ht="14.25" customHeight="1">
      <c r="G529" s="55"/>
    </row>
    <row r="530" ht="14.25" customHeight="1">
      <c r="G530" s="55"/>
    </row>
    <row r="531" ht="14.25" customHeight="1">
      <c r="G531" s="55"/>
    </row>
    <row r="532" ht="14.25" customHeight="1">
      <c r="G532" s="55"/>
    </row>
    <row r="533" ht="14.25" customHeight="1">
      <c r="G533" s="55"/>
    </row>
    <row r="534" ht="14.25" customHeight="1">
      <c r="G534" s="55"/>
    </row>
    <row r="535" ht="14.25" customHeight="1">
      <c r="G535" s="55"/>
    </row>
    <row r="536" ht="14.25" customHeight="1">
      <c r="G536" s="55"/>
    </row>
    <row r="537" ht="14.25" customHeight="1">
      <c r="G537" s="55"/>
    </row>
    <row r="538" ht="14.25" customHeight="1">
      <c r="G538" s="55"/>
    </row>
    <row r="539" ht="14.25" customHeight="1">
      <c r="G539" s="55"/>
    </row>
    <row r="540" ht="14.25" customHeight="1">
      <c r="G540" s="55"/>
    </row>
    <row r="541" ht="14.25" customHeight="1">
      <c r="G541" s="55"/>
    </row>
    <row r="542" ht="14.25" customHeight="1">
      <c r="G542" s="55"/>
    </row>
    <row r="543" ht="14.25" customHeight="1">
      <c r="G543" s="55"/>
    </row>
    <row r="544" ht="14.25" customHeight="1">
      <c r="G544" s="55"/>
    </row>
    <row r="545" ht="14.25" customHeight="1">
      <c r="G545" s="55"/>
    </row>
    <row r="546" ht="14.25" customHeight="1">
      <c r="G546" s="55"/>
    </row>
    <row r="547" ht="14.25" customHeight="1">
      <c r="G547" s="55"/>
    </row>
    <row r="548" ht="14.25" customHeight="1">
      <c r="G548" s="55"/>
    </row>
    <row r="549" ht="14.25" customHeight="1">
      <c r="G549" s="55"/>
    </row>
    <row r="550" ht="14.25" customHeight="1">
      <c r="G550" s="55"/>
    </row>
    <row r="551" ht="14.25" customHeight="1">
      <c r="G551" s="55"/>
    </row>
    <row r="552" ht="14.25" customHeight="1">
      <c r="G552" s="55"/>
    </row>
    <row r="553" ht="14.25" customHeight="1">
      <c r="G553" s="55"/>
    </row>
    <row r="554" ht="14.25" customHeight="1">
      <c r="G554" s="55"/>
    </row>
    <row r="555" ht="14.25" customHeight="1">
      <c r="G555" s="55"/>
    </row>
    <row r="556" ht="14.25" customHeight="1">
      <c r="G556" s="55"/>
    </row>
    <row r="557" ht="14.25" customHeight="1">
      <c r="G557" s="55"/>
    </row>
    <row r="558" ht="14.25" customHeight="1">
      <c r="G558" s="55"/>
    </row>
    <row r="559" ht="14.25" customHeight="1">
      <c r="G559" s="55"/>
    </row>
    <row r="560" ht="14.25" customHeight="1">
      <c r="G560" s="55"/>
    </row>
    <row r="561" ht="14.25" customHeight="1">
      <c r="G561" s="55"/>
    </row>
    <row r="562" ht="14.25" customHeight="1">
      <c r="G562" s="55"/>
    </row>
    <row r="563" ht="14.25" customHeight="1">
      <c r="G563" s="55"/>
    </row>
    <row r="564" ht="14.25" customHeight="1">
      <c r="G564" s="55"/>
    </row>
    <row r="565" ht="14.25" customHeight="1">
      <c r="G565" s="55"/>
    </row>
    <row r="566" ht="14.25" customHeight="1">
      <c r="G566" s="55"/>
    </row>
    <row r="567" ht="14.25" customHeight="1">
      <c r="G567" s="55"/>
    </row>
    <row r="568" ht="14.25" customHeight="1">
      <c r="G568" s="55"/>
    </row>
    <row r="569" ht="14.25" customHeight="1">
      <c r="G569" s="55"/>
    </row>
    <row r="570" ht="14.25" customHeight="1">
      <c r="G570" s="55"/>
    </row>
    <row r="571" ht="14.25" customHeight="1">
      <c r="G571" s="55"/>
    </row>
    <row r="572" ht="14.25" customHeight="1">
      <c r="G572" s="55"/>
    </row>
    <row r="573" ht="14.25" customHeight="1">
      <c r="G573" s="55"/>
    </row>
    <row r="574" ht="14.25" customHeight="1">
      <c r="G574" s="55"/>
    </row>
    <row r="575" ht="14.25" customHeight="1">
      <c r="G575" s="55"/>
    </row>
    <row r="576" ht="14.25" customHeight="1">
      <c r="G576" s="55"/>
    </row>
    <row r="577" ht="14.25" customHeight="1">
      <c r="G577" s="55"/>
    </row>
    <row r="578" ht="14.25" customHeight="1">
      <c r="G578" s="55"/>
    </row>
    <row r="579" ht="14.25" customHeight="1">
      <c r="G579" s="55"/>
    </row>
    <row r="580" ht="14.25" customHeight="1">
      <c r="G580" s="55"/>
    </row>
    <row r="581" ht="14.25" customHeight="1">
      <c r="G581" s="55"/>
    </row>
    <row r="582" ht="14.25" customHeight="1">
      <c r="G582" s="55"/>
    </row>
    <row r="583" ht="14.25" customHeight="1">
      <c r="G583" s="55"/>
    </row>
    <row r="584" ht="14.25" customHeight="1">
      <c r="G584" s="55"/>
    </row>
    <row r="585" ht="14.25" customHeight="1">
      <c r="G585" s="55"/>
    </row>
    <row r="586" ht="14.25" customHeight="1">
      <c r="G586" s="55"/>
    </row>
    <row r="587" ht="14.25" customHeight="1">
      <c r="G587" s="55"/>
    </row>
    <row r="588" ht="14.25" customHeight="1">
      <c r="G588" s="55"/>
    </row>
    <row r="589" ht="14.25" customHeight="1">
      <c r="G589" s="55"/>
    </row>
    <row r="590" ht="14.25" customHeight="1">
      <c r="G590" s="55"/>
    </row>
    <row r="591" ht="14.25" customHeight="1">
      <c r="G591" s="55"/>
    </row>
    <row r="592" ht="14.25" customHeight="1">
      <c r="G592" s="55"/>
    </row>
    <row r="593" ht="14.25" customHeight="1">
      <c r="G593" s="55"/>
    </row>
    <row r="594" ht="14.25" customHeight="1">
      <c r="G594" s="55"/>
    </row>
    <row r="595" ht="14.25" customHeight="1">
      <c r="G595" s="55"/>
    </row>
    <row r="596" ht="14.25" customHeight="1">
      <c r="G596" s="55"/>
    </row>
    <row r="597" ht="14.25" customHeight="1">
      <c r="G597" s="55"/>
    </row>
    <row r="598" ht="14.25" customHeight="1">
      <c r="G598" s="55"/>
    </row>
    <row r="599" ht="14.25" customHeight="1">
      <c r="G599" s="55"/>
    </row>
    <row r="600" ht="14.25" customHeight="1">
      <c r="G600" s="55"/>
    </row>
    <row r="601" ht="14.25" customHeight="1">
      <c r="G601" s="55"/>
    </row>
    <row r="602" ht="14.25" customHeight="1">
      <c r="G602" s="55"/>
    </row>
    <row r="603" ht="14.25" customHeight="1">
      <c r="G603" s="55"/>
    </row>
    <row r="604" ht="14.25" customHeight="1">
      <c r="G604" s="55"/>
    </row>
    <row r="605" ht="14.25" customHeight="1">
      <c r="G605" s="55"/>
    </row>
    <row r="606" ht="14.25" customHeight="1">
      <c r="G606" s="55"/>
    </row>
    <row r="607" ht="14.25" customHeight="1">
      <c r="G607" s="55"/>
    </row>
    <row r="608" ht="14.25" customHeight="1">
      <c r="G608" s="55"/>
    </row>
    <row r="609" ht="14.25" customHeight="1">
      <c r="G609" s="55"/>
    </row>
    <row r="610" ht="14.25" customHeight="1">
      <c r="G610" s="55"/>
    </row>
    <row r="611" ht="14.25" customHeight="1">
      <c r="G611" s="55"/>
    </row>
    <row r="612" ht="14.25" customHeight="1">
      <c r="G612" s="55"/>
    </row>
    <row r="613" ht="14.25" customHeight="1">
      <c r="G613" s="55"/>
    </row>
    <row r="614" ht="14.25" customHeight="1">
      <c r="G614" s="55"/>
    </row>
    <row r="615" ht="14.25" customHeight="1">
      <c r="G615" s="55"/>
    </row>
    <row r="616" ht="14.25" customHeight="1">
      <c r="G616" s="55"/>
    </row>
    <row r="617" ht="14.25" customHeight="1">
      <c r="G617" s="55"/>
    </row>
    <row r="618" ht="14.25" customHeight="1">
      <c r="G618" s="55"/>
    </row>
    <row r="619" ht="14.25" customHeight="1">
      <c r="G619" s="55"/>
    </row>
    <row r="620" ht="14.25" customHeight="1">
      <c r="G620" s="55"/>
    </row>
    <row r="621" ht="14.25" customHeight="1">
      <c r="G621" s="55"/>
    </row>
    <row r="622" ht="14.25" customHeight="1">
      <c r="G622" s="55"/>
    </row>
    <row r="623" ht="14.25" customHeight="1">
      <c r="G623" s="55"/>
    </row>
    <row r="624" ht="14.25" customHeight="1">
      <c r="G624" s="55"/>
    </row>
    <row r="625" ht="14.25" customHeight="1">
      <c r="G625" s="55"/>
    </row>
    <row r="626" ht="14.25" customHeight="1">
      <c r="G626" s="55"/>
    </row>
    <row r="627" ht="14.25" customHeight="1">
      <c r="G627" s="55"/>
    </row>
    <row r="628" ht="14.25" customHeight="1">
      <c r="G628" s="55"/>
    </row>
    <row r="629" ht="14.25" customHeight="1">
      <c r="G629" s="55"/>
    </row>
    <row r="630" ht="14.25" customHeight="1">
      <c r="G630" s="55"/>
    </row>
    <row r="631" ht="14.25" customHeight="1">
      <c r="G631" s="55"/>
    </row>
    <row r="632" ht="14.25" customHeight="1">
      <c r="G632" s="55"/>
    </row>
    <row r="633" ht="14.25" customHeight="1">
      <c r="G633" s="55"/>
    </row>
    <row r="634" ht="14.25" customHeight="1">
      <c r="G634" s="55"/>
    </row>
    <row r="635" ht="14.25" customHeight="1">
      <c r="G635" s="55"/>
    </row>
    <row r="636" ht="14.25" customHeight="1">
      <c r="G636" s="55"/>
    </row>
    <row r="637" ht="14.25" customHeight="1">
      <c r="G637" s="55"/>
    </row>
    <row r="638" ht="14.25" customHeight="1">
      <c r="G638" s="55"/>
    </row>
    <row r="639" ht="14.25" customHeight="1">
      <c r="G639" s="55"/>
    </row>
    <row r="640" ht="14.25" customHeight="1">
      <c r="G640" s="55"/>
    </row>
    <row r="641" ht="14.25" customHeight="1">
      <c r="G641" s="55"/>
    </row>
    <row r="642" ht="14.25" customHeight="1">
      <c r="G642" s="55"/>
    </row>
    <row r="643" ht="14.25" customHeight="1">
      <c r="G643" s="55"/>
    </row>
    <row r="644" ht="14.25" customHeight="1">
      <c r="G644" s="55"/>
    </row>
    <row r="645" ht="14.25" customHeight="1">
      <c r="G645" s="55"/>
    </row>
    <row r="646" ht="14.25" customHeight="1">
      <c r="G646" s="55"/>
    </row>
    <row r="647" ht="14.25" customHeight="1">
      <c r="G647" s="55"/>
    </row>
    <row r="648" ht="14.25" customHeight="1">
      <c r="G648" s="55"/>
    </row>
    <row r="649" ht="14.25" customHeight="1">
      <c r="G649" s="55"/>
    </row>
    <row r="650" ht="14.25" customHeight="1">
      <c r="G650" s="55"/>
    </row>
    <row r="651" ht="14.25" customHeight="1">
      <c r="G651" s="55"/>
    </row>
    <row r="652" ht="14.25" customHeight="1">
      <c r="G652" s="55"/>
    </row>
    <row r="653" ht="14.25" customHeight="1">
      <c r="G653" s="55"/>
    </row>
    <row r="654" ht="14.25" customHeight="1">
      <c r="G654" s="55"/>
    </row>
    <row r="655" ht="14.25" customHeight="1">
      <c r="G655" s="55"/>
    </row>
    <row r="656" ht="14.25" customHeight="1">
      <c r="G656" s="55"/>
    </row>
    <row r="657" ht="14.25" customHeight="1">
      <c r="G657" s="55"/>
    </row>
    <row r="658" ht="14.25" customHeight="1">
      <c r="G658" s="55"/>
    </row>
    <row r="659" ht="14.25" customHeight="1">
      <c r="G659" s="55"/>
    </row>
    <row r="660" ht="14.25" customHeight="1">
      <c r="G660" s="55"/>
    </row>
    <row r="661" ht="14.25" customHeight="1">
      <c r="G661" s="55"/>
    </row>
    <row r="662" ht="14.25" customHeight="1">
      <c r="G662" s="55"/>
    </row>
    <row r="663" ht="14.25" customHeight="1">
      <c r="G663" s="55"/>
    </row>
    <row r="664" ht="14.25" customHeight="1">
      <c r="G664" s="55"/>
    </row>
    <row r="665" ht="14.25" customHeight="1">
      <c r="G665" s="55"/>
    </row>
    <row r="666" ht="14.25" customHeight="1">
      <c r="G666" s="55"/>
    </row>
    <row r="667" ht="14.25" customHeight="1">
      <c r="G667" s="55"/>
    </row>
    <row r="668" ht="14.25" customHeight="1">
      <c r="G668" s="55"/>
    </row>
    <row r="669" ht="14.25" customHeight="1">
      <c r="G669" s="55"/>
    </row>
    <row r="670" ht="14.25" customHeight="1">
      <c r="G670" s="55"/>
    </row>
    <row r="671" ht="14.25" customHeight="1">
      <c r="G671" s="55"/>
    </row>
    <row r="672" ht="14.25" customHeight="1">
      <c r="G672" s="55"/>
    </row>
    <row r="673" ht="14.25" customHeight="1">
      <c r="G673" s="55"/>
    </row>
    <row r="674" ht="14.25" customHeight="1">
      <c r="G674" s="55"/>
    </row>
    <row r="675" ht="14.25" customHeight="1">
      <c r="G675" s="55"/>
    </row>
    <row r="676" ht="14.25" customHeight="1">
      <c r="G676" s="55"/>
    </row>
    <row r="677" ht="14.25" customHeight="1">
      <c r="G677" s="55"/>
    </row>
    <row r="678" ht="14.25" customHeight="1">
      <c r="G678" s="55"/>
    </row>
    <row r="679" ht="14.25" customHeight="1">
      <c r="G679" s="55"/>
    </row>
    <row r="680" ht="14.25" customHeight="1">
      <c r="G680" s="55"/>
    </row>
    <row r="681" ht="14.25" customHeight="1">
      <c r="G681" s="55"/>
    </row>
    <row r="682" ht="14.25" customHeight="1">
      <c r="G682" s="55"/>
    </row>
    <row r="683" ht="14.25" customHeight="1">
      <c r="G683" s="55"/>
    </row>
    <row r="684" ht="14.25" customHeight="1">
      <c r="G684" s="55"/>
    </row>
    <row r="685" ht="14.25" customHeight="1">
      <c r="G685" s="55"/>
    </row>
    <row r="686" ht="14.25" customHeight="1">
      <c r="G686" s="55"/>
    </row>
    <row r="687" ht="14.25" customHeight="1">
      <c r="G687" s="55"/>
    </row>
    <row r="688" ht="14.25" customHeight="1">
      <c r="G688" s="55"/>
    </row>
    <row r="689" ht="14.25" customHeight="1">
      <c r="G689" s="55"/>
    </row>
    <row r="690" ht="14.25" customHeight="1">
      <c r="G690" s="55"/>
    </row>
    <row r="691" ht="14.25" customHeight="1">
      <c r="G691" s="55"/>
    </row>
    <row r="692" ht="14.25" customHeight="1">
      <c r="G692" s="55"/>
    </row>
    <row r="693" ht="14.25" customHeight="1">
      <c r="G693" s="55"/>
    </row>
    <row r="694" ht="14.25" customHeight="1">
      <c r="G694" s="55"/>
    </row>
    <row r="695" ht="14.25" customHeight="1">
      <c r="G695" s="55"/>
    </row>
    <row r="696" ht="14.25" customHeight="1">
      <c r="G696" s="55"/>
    </row>
    <row r="697" ht="14.25" customHeight="1">
      <c r="G697" s="55"/>
    </row>
    <row r="698" ht="14.25" customHeight="1">
      <c r="G698" s="55"/>
    </row>
    <row r="699" ht="14.25" customHeight="1">
      <c r="G699" s="55"/>
    </row>
    <row r="700" ht="14.25" customHeight="1">
      <c r="G700" s="55"/>
    </row>
    <row r="701" ht="14.25" customHeight="1">
      <c r="G701" s="55"/>
    </row>
    <row r="702" ht="14.25" customHeight="1">
      <c r="G702" s="55"/>
    </row>
    <row r="703" ht="14.25" customHeight="1">
      <c r="G703" s="55"/>
    </row>
    <row r="704" ht="14.25" customHeight="1">
      <c r="G704" s="55"/>
    </row>
    <row r="705" ht="14.25" customHeight="1">
      <c r="G705" s="55"/>
    </row>
    <row r="706" ht="14.25" customHeight="1">
      <c r="G706" s="55"/>
    </row>
    <row r="707" ht="14.25" customHeight="1">
      <c r="G707" s="55"/>
    </row>
    <row r="708" ht="14.25" customHeight="1">
      <c r="G708" s="55"/>
    </row>
    <row r="709" ht="14.25" customHeight="1">
      <c r="G709" s="55"/>
    </row>
    <row r="710" ht="14.25" customHeight="1">
      <c r="G710" s="55"/>
    </row>
    <row r="711" ht="14.25" customHeight="1">
      <c r="G711" s="55"/>
    </row>
    <row r="712" ht="14.25" customHeight="1">
      <c r="G712" s="55"/>
    </row>
    <row r="713" ht="14.25" customHeight="1">
      <c r="G713" s="55"/>
    </row>
    <row r="714" ht="14.25" customHeight="1">
      <c r="G714" s="55"/>
    </row>
    <row r="715" ht="14.25" customHeight="1">
      <c r="G715" s="55"/>
    </row>
    <row r="716" ht="14.25" customHeight="1">
      <c r="G716" s="55"/>
    </row>
    <row r="717" ht="14.25" customHeight="1">
      <c r="G717" s="55"/>
    </row>
    <row r="718" ht="14.25" customHeight="1">
      <c r="G718" s="55"/>
    </row>
    <row r="719" ht="14.25" customHeight="1">
      <c r="G719" s="55"/>
    </row>
    <row r="720" ht="14.25" customHeight="1">
      <c r="G720" s="55"/>
    </row>
    <row r="721" ht="14.25" customHeight="1">
      <c r="G721" s="55"/>
    </row>
    <row r="722" ht="14.25" customHeight="1">
      <c r="G722" s="55"/>
    </row>
    <row r="723" ht="14.25" customHeight="1">
      <c r="G723" s="55"/>
    </row>
    <row r="724" ht="14.25" customHeight="1">
      <c r="G724" s="55"/>
    </row>
    <row r="725" ht="14.25" customHeight="1">
      <c r="G725" s="55"/>
    </row>
    <row r="726" ht="14.25" customHeight="1">
      <c r="G726" s="55"/>
    </row>
    <row r="727" ht="14.25" customHeight="1">
      <c r="G727" s="55"/>
    </row>
    <row r="728" ht="14.25" customHeight="1">
      <c r="G728" s="55"/>
    </row>
    <row r="729" ht="14.25" customHeight="1">
      <c r="G729" s="55"/>
    </row>
    <row r="730" ht="14.25" customHeight="1">
      <c r="G730" s="55"/>
    </row>
    <row r="731" ht="14.25" customHeight="1">
      <c r="G731" s="55"/>
    </row>
    <row r="732" ht="14.25" customHeight="1">
      <c r="G732" s="55"/>
    </row>
    <row r="733" ht="14.25" customHeight="1">
      <c r="G733" s="55"/>
    </row>
    <row r="734" ht="14.25" customHeight="1">
      <c r="G734" s="55"/>
    </row>
    <row r="735" ht="14.25" customHeight="1">
      <c r="G735" s="55"/>
    </row>
    <row r="736" ht="14.25" customHeight="1">
      <c r="G736" s="55"/>
    </row>
    <row r="737" ht="14.25" customHeight="1">
      <c r="G737" s="55"/>
    </row>
    <row r="738" ht="14.25" customHeight="1">
      <c r="G738" s="55"/>
    </row>
    <row r="739" ht="14.25" customHeight="1">
      <c r="G739" s="55"/>
    </row>
    <row r="740" ht="14.25" customHeight="1">
      <c r="G740" s="55"/>
    </row>
    <row r="741" ht="14.25" customHeight="1">
      <c r="G741" s="55"/>
    </row>
    <row r="742" ht="14.25" customHeight="1">
      <c r="G742" s="55"/>
    </row>
    <row r="743" ht="14.25" customHeight="1">
      <c r="G743" s="55"/>
    </row>
    <row r="744" ht="14.25" customHeight="1">
      <c r="G744" s="55"/>
    </row>
    <row r="745" ht="14.25" customHeight="1">
      <c r="G745" s="55"/>
    </row>
    <row r="746" ht="14.25" customHeight="1">
      <c r="G746" s="55"/>
    </row>
    <row r="747" ht="14.25" customHeight="1">
      <c r="G747" s="55"/>
    </row>
    <row r="748" ht="14.25" customHeight="1">
      <c r="G748" s="55"/>
    </row>
    <row r="749" ht="14.25" customHeight="1">
      <c r="G749" s="55"/>
    </row>
    <row r="750" ht="14.25" customHeight="1">
      <c r="G750" s="55"/>
    </row>
    <row r="751" ht="14.25" customHeight="1">
      <c r="G751" s="55"/>
    </row>
    <row r="752" ht="14.25" customHeight="1">
      <c r="G752" s="55"/>
    </row>
    <row r="753" ht="14.25" customHeight="1">
      <c r="G753" s="55"/>
    </row>
    <row r="754" ht="14.25" customHeight="1">
      <c r="G754" s="55"/>
    </row>
    <row r="755" ht="14.25" customHeight="1">
      <c r="G755" s="55"/>
    </row>
    <row r="756" ht="14.25" customHeight="1">
      <c r="G756" s="55"/>
    </row>
    <row r="757" ht="14.25" customHeight="1">
      <c r="G757" s="55"/>
    </row>
    <row r="758" ht="14.25" customHeight="1">
      <c r="G758" s="55"/>
    </row>
    <row r="759" ht="14.25" customHeight="1">
      <c r="G759" s="55"/>
    </row>
    <row r="760" ht="14.25" customHeight="1">
      <c r="G760" s="55"/>
    </row>
    <row r="761" ht="14.25" customHeight="1">
      <c r="G761" s="55"/>
    </row>
    <row r="762" ht="14.25" customHeight="1">
      <c r="G762" s="55"/>
    </row>
    <row r="763" ht="14.25" customHeight="1">
      <c r="G763" s="55"/>
    </row>
    <row r="764" ht="14.25" customHeight="1">
      <c r="G764" s="55"/>
    </row>
    <row r="765" ht="14.25" customHeight="1">
      <c r="G765" s="55"/>
    </row>
    <row r="766" ht="14.25" customHeight="1">
      <c r="G766" s="55"/>
    </row>
    <row r="767" ht="14.25" customHeight="1">
      <c r="G767" s="55"/>
    </row>
    <row r="768" ht="14.25" customHeight="1">
      <c r="G768" s="55"/>
    </row>
    <row r="769" ht="14.25" customHeight="1">
      <c r="G769" s="55"/>
    </row>
    <row r="770" ht="14.25" customHeight="1">
      <c r="G770" s="55"/>
    </row>
    <row r="771" ht="14.25" customHeight="1">
      <c r="G771" s="55"/>
    </row>
    <row r="772" ht="14.25" customHeight="1">
      <c r="G772" s="55"/>
    </row>
    <row r="773" ht="14.25" customHeight="1">
      <c r="G773" s="55"/>
    </row>
    <row r="774" ht="14.25" customHeight="1">
      <c r="G774" s="55"/>
    </row>
    <row r="775" ht="14.25" customHeight="1">
      <c r="G775" s="55"/>
    </row>
    <row r="776" ht="14.25" customHeight="1">
      <c r="G776" s="55"/>
    </row>
    <row r="777" ht="14.25" customHeight="1">
      <c r="G777" s="55"/>
    </row>
    <row r="778" ht="14.25" customHeight="1">
      <c r="G778" s="55"/>
    </row>
    <row r="779" ht="14.25" customHeight="1">
      <c r="G779" s="55"/>
    </row>
    <row r="780" ht="14.25" customHeight="1">
      <c r="G780" s="55"/>
    </row>
    <row r="781" ht="14.25" customHeight="1">
      <c r="G781" s="55"/>
    </row>
    <row r="782" ht="14.25" customHeight="1">
      <c r="G782" s="55"/>
    </row>
    <row r="783" ht="14.25" customHeight="1">
      <c r="G783" s="55"/>
    </row>
    <row r="784" ht="14.25" customHeight="1">
      <c r="G784" s="55"/>
    </row>
    <row r="785" ht="14.25" customHeight="1">
      <c r="G785" s="55"/>
    </row>
    <row r="786" ht="14.25" customHeight="1">
      <c r="G786" s="55"/>
    </row>
    <row r="787" ht="14.25" customHeight="1">
      <c r="G787" s="55"/>
    </row>
    <row r="788" ht="14.25" customHeight="1">
      <c r="G788" s="55"/>
    </row>
    <row r="789" ht="14.25" customHeight="1">
      <c r="G789" s="55"/>
    </row>
    <row r="790" ht="14.25" customHeight="1">
      <c r="G790" s="55"/>
    </row>
    <row r="791" ht="14.25" customHeight="1">
      <c r="G791" s="55"/>
    </row>
    <row r="792" ht="14.25" customHeight="1">
      <c r="G792" s="55"/>
    </row>
    <row r="793" ht="14.25" customHeight="1">
      <c r="G793" s="55"/>
    </row>
    <row r="794" ht="14.25" customHeight="1">
      <c r="G794" s="55"/>
    </row>
    <row r="795" ht="14.25" customHeight="1">
      <c r="G795" s="55"/>
    </row>
    <row r="796" ht="14.25" customHeight="1">
      <c r="G796" s="55"/>
    </row>
    <row r="797" ht="14.25" customHeight="1">
      <c r="G797" s="55"/>
    </row>
    <row r="798" ht="14.25" customHeight="1">
      <c r="G798" s="55"/>
    </row>
    <row r="799" ht="14.25" customHeight="1">
      <c r="G799" s="55"/>
    </row>
    <row r="800" ht="14.25" customHeight="1">
      <c r="G800" s="55"/>
    </row>
    <row r="801" ht="14.25" customHeight="1">
      <c r="G801" s="55"/>
    </row>
    <row r="802" ht="14.25" customHeight="1">
      <c r="G802" s="55"/>
    </row>
    <row r="803" ht="14.25" customHeight="1">
      <c r="G803" s="55"/>
    </row>
    <row r="804" ht="14.25" customHeight="1">
      <c r="G804" s="55"/>
    </row>
    <row r="805" ht="14.25" customHeight="1">
      <c r="G805" s="55"/>
    </row>
    <row r="806" ht="14.25" customHeight="1">
      <c r="G806" s="55"/>
    </row>
    <row r="807" ht="14.25" customHeight="1">
      <c r="G807" s="55"/>
    </row>
    <row r="808" ht="14.25" customHeight="1">
      <c r="G808" s="55"/>
    </row>
    <row r="809" ht="14.25" customHeight="1">
      <c r="G809" s="55"/>
    </row>
    <row r="810" ht="14.25" customHeight="1">
      <c r="G810" s="55"/>
    </row>
    <row r="811" ht="14.25" customHeight="1">
      <c r="G811" s="55"/>
    </row>
    <row r="812" ht="14.25" customHeight="1">
      <c r="G812" s="55"/>
    </row>
    <row r="813" ht="14.25" customHeight="1">
      <c r="G813" s="55"/>
    </row>
    <row r="814" ht="14.25" customHeight="1">
      <c r="G814" s="55"/>
    </row>
    <row r="815" ht="14.25" customHeight="1">
      <c r="G815" s="55"/>
    </row>
    <row r="816" ht="14.25" customHeight="1">
      <c r="G816" s="55"/>
    </row>
    <row r="817" ht="14.25" customHeight="1">
      <c r="G817" s="55"/>
    </row>
    <row r="818" ht="14.25" customHeight="1">
      <c r="G818" s="55"/>
    </row>
    <row r="819" ht="14.25" customHeight="1">
      <c r="G819" s="55"/>
    </row>
    <row r="820" ht="14.25" customHeight="1">
      <c r="G820" s="55"/>
    </row>
    <row r="821" ht="14.25" customHeight="1">
      <c r="G821" s="55"/>
    </row>
    <row r="822" ht="14.25" customHeight="1">
      <c r="G822" s="55"/>
    </row>
    <row r="823" ht="14.25" customHeight="1">
      <c r="G823" s="55"/>
    </row>
    <row r="824" ht="14.25" customHeight="1">
      <c r="G824" s="55"/>
    </row>
    <row r="825" ht="14.25" customHeight="1">
      <c r="G825" s="55"/>
    </row>
    <row r="826" ht="14.25" customHeight="1">
      <c r="G826" s="55"/>
    </row>
    <row r="827" ht="14.25" customHeight="1">
      <c r="G827" s="55"/>
    </row>
    <row r="828" ht="14.25" customHeight="1">
      <c r="G828" s="55"/>
    </row>
    <row r="829" ht="14.25" customHeight="1">
      <c r="G829" s="55"/>
    </row>
    <row r="830" ht="14.25" customHeight="1">
      <c r="G830" s="55"/>
    </row>
    <row r="831" ht="14.25" customHeight="1">
      <c r="G831" s="55"/>
    </row>
    <row r="832" ht="14.25" customHeight="1">
      <c r="G832" s="55"/>
    </row>
    <row r="833" ht="14.25" customHeight="1">
      <c r="G833" s="55"/>
    </row>
    <row r="834" ht="14.25" customHeight="1">
      <c r="G834" s="55"/>
    </row>
    <row r="835" ht="14.25" customHeight="1">
      <c r="G835" s="55"/>
    </row>
    <row r="836" ht="14.25" customHeight="1">
      <c r="G836" s="55"/>
    </row>
    <row r="837" ht="14.25" customHeight="1">
      <c r="G837" s="55"/>
    </row>
    <row r="838" ht="14.25" customHeight="1">
      <c r="G838" s="55"/>
    </row>
    <row r="839" ht="14.25" customHeight="1">
      <c r="G839" s="55"/>
    </row>
    <row r="840" ht="14.25" customHeight="1">
      <c r="G840" s="55"/>
    </row>
    <row r="841" ht="14.25" customHeight="1">
      <c r="G841" s="55"/>
    </row>
    <row r="842" ht="14.25" customHeight="1">
      <c r="G842" s="55"/>
    </row>
    <row r="843" ht="14.25" customHeight="1">
      <c r="G843" s="55"/>
    </row>
    <row r="844" ht="14.25" customHeight="1">
      <c r="G844" s="55"/>
    </row>
    <row r="845" ht="14.25" customHeight="1">
      <c r="G845" s="55"/>
    </row>
    <row r="846" ht="14.25" customHeight="1">
      <c r="G846" s="55"/>
    </row>
    <row r="847" ht="14.25" customHeight="1">
      <c r="G847" s="55"/>
    </row>
    <row r="848" ht="14.25" customHeight="1">
      <c r="G848" s="55"/>
    </row>
    <row r="849" ht="14.25" customHeight="1">
      <c r="G849" s="55"/>
    </row>
    <row r="850" ht="14.25" customHeight="1">
      <c r="G850" s="55"/>
    </row>
    <row r="851" ht="14.25" customHeight="1">
      <c r="G851" s="55"/>
    </row>
    <row r="852" ht="14.25" customHeight="1">
      <c r="G852" s="55"/>
    </row>
    <row r="853" ht="14.25" customHeight="1">
      <c r="G853" s="55"/>
    </row>
    <row r="854" ht="14.25" customHeight="1">
      <c r="G854" s="55"/>
    </row>
    <row r="855" ht="14.25" customHeight="1">
      <c r="G855" s="55"/>
    </row>
    <row r="856" ht="14.25" customHeight="1">
      <c r="G856" s="55"/>
    </row>
    <row r="857" ht="14.25" customHeight="1">
      <c r="G857" s="55"/>
    </row>
    <row r="858" ht="14.25" customHeight="1">
      <c r="G858" s="55"/>
    </row>
    <row r="859" ht="14.25" customHeight="1">
      <c r="G859" s="55"/>
    </row>
    <row r="860" ht="14.25" customHeight="1">
      <c r="G860" s="55"/>
    </row>
    <row r="861" ht="14.25" customHeight="1">
      <c r="G861" s="55"/>
    </row>
    <row r="862" ht="14.25" customHeight="1">
      <c r="G862" s="55"/>
    </row>
    <row r="863" ht="14.25" customHeight="1">
      <c r="G863" s="55"/>
    </row>
    <row r="864" ht="14.25" customHeight="1">
      <c r="G864" s="55"/>
    </row>
    <row r="865" ht="14.25" customHeight="1">
      <c r="G865" s="55"/>
    </row>
    <row r="866" ht="14.25" customHeight="1">
      <c r="G866" s="55"/>
    </row>
    <row r="867" ht="14.25" customHeight="1">
      <c r="G867" s="55"/>
    </row>
    <row r="868" ht="14.25" customHeight="1">
      <c r="G868" s="55"/>
    </row>
    <row r="869" ht="14.25" customHeight="1">
      <c r="G869" s="55"/>
    </row>
    <row r="870" ht="14.25" customHeight="1">
      <c r="G870" s="55"/>
    </row>
    <row r="871" ht="14.25" customHeight="1">
      <c r="G871" s="55"/>
    </row>
    <row r="872" ht="14.25" customHeight="1">
      <c r="G872" s="55"/>
    </row>
    <row r="873" ht="14.25" customHeight="1">
      <c r="G873" s="55"/>
    </row>
    <row r="874" ht="14.25" customHeight="1">
      <c r="G874" s="55"/>
    </row>
    <row r="875" ht="14.25" customHeight="1">
      <c r="G875" s="55"/>
    </row>
    <row r="876" ht="14.25" customHeight="1">
      <c r="G876" s="55"/>
    </row>
    <row r="877" ht="14.25" customHeight="1">
      <c r="G877" s="55"/>
    </row>
    <row r="878" ht="14.25" customHeight="1">
      <c r="G878" s="55"/>
    </row>
    <row r="879" ht="14.25" customHeight="1">
      <c r="G879" s="55"/>
    </row>
    <row r="880" ht="14.25" customHeight="1">
      <c r="G880" s="55"/>
    </row>
    <row r="881" ht="14.25" customHeight="1">
      <c r="G881" s="55"/>
    </row>
    <row r="882" ht="14.25" customHeight="1">
      <c r="G882" s="55"/>
    </row>
    <row r="883" ht="14.25" customHeight="1">
      <c r="G883" s="55"/>
    </row>
    <row r="884" ht="14.25" customHeight="1">
      <c r="G884" s="55"/>
    </row>
    <row r="885" ht="14.25" customHeight="1">
      <c r="G885" s="55"/>
    </row>
    <row r="886" ht="14.25" customHeight="1">
      <c r="G886" s="55"/>
    </row>
    <row r="887" ht="14.25" customHeight="1">
      <c r="G887" s="55"/>
    </row>
    <row r="888" ht="14.25" customHeight="1">
      <c r="G888" s="55"/>
    </row>
    <row r="889" ht="14.25" customHeight="1">
      <c r="G889" s="55"/>
    </row>
    <row r="890" ht="14.25" customHeight="1">
      <c r="G890" s="55"/>
    </row>
    <row r="891" ht="14.25" customHeight="1">
      <c r="G891" s="55"/>
    </row>
    <row r="892" ht="14.25" customHeight="1">
      <c r="G892" s="55"/>
    </row>
    <row r="893" ht="14.25" customHeight="1">
      <c r="G893" s="55"/>
    </row>
    <row r="894" ht="14.25" customHeight="1">
      <c r="G894" s="55"/>
    </row>
    <row r="895" ht="14.25" customHeight="1">
      <c r="G895" s="55"/>
    </row>
    <row r="896" ht="14.25" customHeight="1">
      <c r="G896" s="55"/>
    </row>
    <row r="897" ht="14.25" customHeight="1">
      <c r="G897" s="55"/>
    </row>
    <row r="898" ht="14.25" customHeight="1">
      <c r="G898" s="55"/>
    </row>
    <row r="899" ht="14.25" customHeight="1">
      <c r="G899" s="55"/>
    </row>
    <row r="900" ht="14.25" customHeight="1">
      <c r="G900" s="55"/>
    </row>
    <row r="901" ht="14.25" customHeight="1">
      <c r="G901" s="55"/>
    </row>
    <row r="902" ht="14.25" customHeight="1">
      <c r="G902" s="55"/>
    </row>
    <row r="903" ht="14.25" customHeight="1">
      <c r="G903" s="55"/>
    </row>
    <row r="904" ht="14.25" customHeight="1">
      <c r="G904" s="55"/>
    </row>
    <row r="905" ht="14.25" customHeight="1">
      <c r="G905" s="55"/>
    </row>
    <row r="906" ht="14.25" customHeight="1">
      <c r="G906" s="55"/>
    </row>
  </sheetData>
  <mergeCells count="5">
    <mergeCell ref="F8:G8"/>
    <mergeCell ref="F10:G10"/>
    <mergeCell ref="B12:B15"/>
    <mergeCell ref="B18:B21"/>
    <mergeCell ref="B23:B24"/>
  </mergeCells>
  <conditionalFormatting sqref="C1">
    <cfRule type="notContainsBlanks" dxfId="8" priority="1">
      <formula>LEN(TRIM(C1))&gt;0</formula>
    </cfRule>
  </conditionalFormatting>
  <dataValidations>
    <dataValidation type="list" allowBlank="1" sqref="C40">
      <formula1>"Gross Margin,Net Margin"</formula1>
    </dataValidation>
    <dataValidation type="list" allowBlank="1" sqref="C3">
      <formula1>"Nómina,Prestación de Servicios,Deel/Ontop"</formula1>
    </dataValidation>
    <dataValidation type="list" allowBlank="1" showErrorMessage="1" sqref="C5">
      <formula1>"Cold Calling,Mercadeo,Directo,Network - Cold Calling,Referido Imagine"</formula1>
    </dataValidation>
    <dataValidation type="list" allowBlank="1" showErrorMessage="1" sqref="D27:D36">
      <formula1>"Nómina,P. Servicios"</formula1>
    </dataValidation>
    <dataValidation type="list" allowBlank="1" sqref="B27:B36">
      <formula1>'Parámetros'!$A$2:$A$113</formula1>
    </dataValidation>
    <dataValidation type="list" allowBlank="1" sqref="C2">
      <formula1>'Parámetros'!$A$118:$A$123</formula1>
    </dataValidation>
    <dataValidation type="list" allowBlank="1" sqref="C6">
      <formula1>"Perfil Sr.,Perfil Semi senior,Perfil Jr."</formula1>
    </dataValidation>
    <dataValidation type="list" allowBlank="1" sqref="D40">
      <formula1>"COP,USD"</formula1>
    </dataValidation>
  </dataValidations>
  <printOptions/>
  <pageMargins bottom="0.75" footer="0.0" header="0.0" left="0.7" right="0.7" top="0.75"/>
  <pageSetup orientation="portrait"/>
  <drawing r:id="rId1"/>
  <tableParts count="3"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4.14"/>
    <col customWidth="1" min="2" max="2" width="38.43"/>
    <col customWidth="1" min="3" max="3" width="23.14"/>
    <col customWidth="1" min="4" max="4" width="16.29"/>
    <col customWidth="1" min="5" max="5" width="14.86"/>
    <col customWidth="1" min="6" max="6" width="18.0"/>
    <col customWidth="1" min="7" max="7" width="16.29"/>
    <col customWidth="1" min="8" max="8" width="16.14"/>
    <col customWidth="1" min="9" max="9" width="12.0"/>
    <col customWidth="1" min="10" max="10" width="26.57"/>
    <col customWidth="1" min="11" max="11" width="14.86"/>
    <col customWidth="1" min="12" max="12" width="14.71"/>
    <col customWidth="1" min="13" max="13" width="17.29"/>
    <col customWidth="1" min="14" max="14" width="15.57"/>
    <col customWidth="1" min="15" max="15" width="10.71"/>
    <col customWidth="1" min="16" max="16" width="23.14"/>
    <col customWidth="1" min="17" max="17" width="17.57"/>
    <col customWidth="1" min="18" max="18" width="15.71"/>
    <col customWidth="1" min="19" max="19" width="18.86"/>
    <col customWidth="1" hidden="1" min="20" max="20" width="13.71"/>
    <col customWidth="1" hidden="1" min="21" max="21" width="13.43"/>
    <col customWidth="1" hidden="1" min="22" max="32" width="10.71"/>
  </cols>
  <sheetData>
    <row r="1" ht="8.25" customHeight="1">
      <c r="A1" s="200"/>
      <c r="B1" s="200"/>
      <c r="C1" s="200"/>
      <c r="D1" s="200"/>
      <c r="E1" s="200"/>
      <c r="F1" s="200"/>
      <c r="G1" s="201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</row>
    <row r="2" ht="15.75" customHeight="1">
      <c r="A2" s="200"/>
      <c r="B2" s="202" t="s">
        <v>150</v>
      </c>
      <c r="C2" s="203" t="s">
        <v>94</v>
      </c>
      <c r="D2" s="204"/>
      <c r="E2" s="200"/>
      <c r="F2" s="200"/>
      <c r="G2" s="205"/>
      <c r="H2" s="206"/>
      <c r="I2" s="206"/>
      <c r="J2" s="207"/>
      <c r="K2" s="206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0"/>
      <c r="AD2" s="200"/>
      <c r="AE2" s="200"/>
      <c r="AF2" s="200"/>
    </row>
    <row r="3" ht="15.75" customHeight="1">
      <c r="A3" s="200"/>
      <c r="B3" s="202" t="s">
        <v>25</v>
      </c>
      <c r="C3" s="208" t="s">
        <v>151</v>
      </c>
      <c r="D3" s="16"/>
      <c r="E3" s="200"/>
      <c r="F3" s="209"/>
      <c r="G3" s="210"/>
      <c r="H3" s="200"/>
      <c r="I3" s="200"/>
      <c r="J3" s="211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200"/>
    </row>
    <row r="4" ht="15.75" customHeight="1">
      <c r="A4" s="200"/>
      <c r="B4" s="202" t="s">
        <v>152</v>
      </c>
      <c r="C4" s="212">
        <v>0.08</v>
      </c>
      <c r="D4" s="16"/>
      <c r="E4" s="200"/>
      <c r="H4" s="200"/>
      <c r="I4" s="200"/>
      <c r="J4" s="211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</row>
    <row r="5" ht="15.75" customHeight="1">
      <c r="A5" s="200"/>
      <c r="B5" s="213" t="s">
        <v>153</v>
      </c>
      <c r="C5" s="214" t="s">
        <v>134</v>
      </c>
      <c r="D5" s="16"/>
      <c r="F5" s="90"/>
      <c r="G5" s="215"/>
      <c r="I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</row>
    <row r="6" ht="15.75" customHeight="1">
      <c r="A6" s="200"/>
      <c r="B6" s="202" t="s">
        <v>154</v>
      </c>
      <c r="C6" s="214" t="s">
        <v>148</v>
      </c>
      <c r="D6" s="216"/>
      <c r="F6" s="217"/>
      <c r="G6" s="215"/>
      <c r="I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0"/>
      <c r="AA6" s="200"/>
      <c r="AB6" s="200"/>
      <c r="AC6" s="200"/>
      <c r="AD6" s="200"/>
      <c r="AE6" s="200"/>
      <c r="AF6" s="200"/>
    </row>
    <row r="7" ht="15.75" customHeight="1">
      <c r="A7" s="200"/>
      <c r="B7" s="202" t="s">
        <v>28</v>
      </c>
      <c r="C7" s="218">
        <v>0.0</v>
      </c>
      <c r="D7" s="216"/>
      <c r="F7" s="219" t="s">
        <v>155</v>
      </c>
      <c r="G7" s="220">
        <f>VLOOKUP($C$2,'Parámetros'!$A$118:$D$124,3,0)</f>
        <v>0.4</v>
      </c>
      <c r="I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  <c r="AA7" s="200"/>
      <c r="AB7" s="200"/>
      <c r="AC7" s="200"/>
      <c r="AD7" s="200"/>
      <c r="AE7" s="200"/>
      <c r="AF7" s="200"/>
    </row>
    <row r="8" ht="15.75" customHeight="1">
      <c r="A8" s="200"/>
      <c r="B8" s="202" t="s">
        <v>156</v>
      </c>
      <c r="C8" s="218">
        <v>0.0</v>
      </c>
      <c r="D8" s="204"/>
      <c r="F8" s="221" t="str">
        <f>IF(D13&gt;=G7,"Dentro del margen","¡Por debajo del margen!")</f>
        <v>Dentro del margen</v>
      </c>
      <c r="I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</row>
    <row r="9" ht="15.75" customHeight="1">
      <c r="A9" s="200"/>
      <c r="B9" s="202" t="s">
        <v>157</v>
      </c>
      <c r="C9" s="222"/>
      <c r="D9" s="204"/>
      <c r="E9" s="200"/>
      <c r="H9" s="200"/>
      <c r="I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200"/>
      <c r="AC9" s="200"/>
      <c r="AD9" s="200"/>
      <c r="AE9" s="200"/>
      <c r="AF9" s="200"/>
    </row>
    <row r="10" ht="15.75" customHeight="1">
      <c r="A10" s="200"/>
      <c r="B10" s="202" t="s">
        <v>158</v>
      </c>
      <c r="C10" s="208">
        <v>0.25</v>
      </c>
      <c r="D10" s="16"/>
      <c r="E10" s="200"/>
      <c r="H10" s="201"/>
      <c r="I10" s="223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</row>
    <row r="11" ht="15.75" customHeight="1">
      <c r="A11" s="200"/>
      <c r="B11" s="224"/>
      <c r="C11" s="16"/>
      <c r="D11" s="16"/>
      <c r="E11" s="200"/>
      <c r="F11" s="202" t="s">
        <v>44</v>
      </c>
      <c r="G11" s="225" t="s">
        <v>45</v>
      </c>
      <c r="H11" s="223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</row>
    <row r="12" ht="18.75" customHeight="1">
      <c r="B12" s="226" t="s">
        <v>7</v>
      </c>
      <c r="C12" s="17" t="s">
        <v>6</v>
      </c>
      <c r="D12" s="227">
        <f>F12*C4+IFS(C5="Cold Calling",2%*138.3522%,C5="Mercadeo",2%*101%,C5="Network - Cold Calling",2%*138.3522%,C5="Referido Imagine",5%*138.3522%,C5="Directo",0)*F12+ifs(AND(C6="Perfil Jr.",C2="Network"),200000,AND(C6="Perfil Sr.",C2="Network"),350000,AND(C2="Network",C6="Perfil Semi Senior"), 600000,C2="Proyecto",1,C2="Equipo dedicado",1,C2="Servidores",1,C2="Enterprise",1,C2="Descubrimiento",1)</f>
        <v>460001</v>
      </c>
      <c r="E12" s="228" t="s">
        <v>159</v>
      </c>
      <c r="F12" s="229">
        <f>((C61+C57+C59)/((1-D13-'Parámetros'!L8*C7)))*IF(C8=1,102.4%,1)</f>
        <v>5750000</v>
      </c>
      <c r="G12" s="230">
        <f>F12/'Parámetros'!$L$3</f>
        <v>1619.71831</v>
      </c>
      <c r="H12" s="211"/>
      <c r="I12" s="15">
        <v>160.0</v>
      </c>
      <c r="J12" s="15">
        <v>1.0</v>
      </c>
      <c r="M12" s="23"/>
      <c r="N12" s="24"/>
      <c r="O12" s="24"/>
    </row>
    <row r="13" ht="18.75" customHeight="1">
      <c r="B13" s="27"/>
      <c r="C13" s="17" t="s">
        <v>9</v>
      </c>
      <c r="D13" s="231">
        <v>0.75</v>
      </c>
      <c r="E13" s="228" t="s">
        <v>160</v>
      </c>
      <c r="F13" s="229">
        <f>F12/C10</f>
        <v>23000000</v>
      </c>
      <c r="G13" s="230">
        <f>F13/'Parámetros'!$L$3</f>
        <v>6478.873239</v>
      </c>
      <c r="I13" s="15">
        <v>12.0</v>
      </c>
      <c r="J13" s="232">
        <f>I13*J12/I12</f>
        <v>0.075</v>
      </c>
      <c r="M13" s="23"/>
      <c r="N13" s="24"/>
      <c r="O13" s="24"/>
    </row>
    <row r="14" ht="18.75" customHeight="1">
      <c r="B14" s="27"/>
      <c r="C14" s="17" t="s">
        <v>15</v>
      </c>
      <c r="D14" s="227">
        <f>F12*'Parámetros'!L5</f>
        <v>39675</v>
      </c>
      <c r="E14" s="228" t="s">
        <v>161</v>
      </c>
      <c r="F14" s="229">
        <f>F12/SUM(D43:D52)/C10</f>
        <v>111111.1111</v>
      </c>
      <c r="G14" s="230">
        <f>G12/SUM(D43:D52)/C10</f>
        <v>31.29890454</v>
      </c>
      <c r="L14" s="22"/>
      <c r="O14" s="28"/>
      <c r="P14" s="28"/>
      <c r="Q14" s="28"/>
    </row>
    <row r="15" ht="14.25" customHeight="1">
      <c r="B15" s="43"/>
      <c r="C15" s="17" t="s">
        <v>18</v>
      </c>
      <c r="D15" s="233">
        <f>(F12-C62-D14-D12-C7*'Parámetros'!L8*F12-IF(C8=1,2.4%,0)*F12)/F12</f>
        <v>0.2889297414</v>
      </c>
      <c r="F15" s="23"/>
      <c r="G15" s="55"/>
      <c r="I15" s="15" t="s">
        <v>162</v>
      </c>
      <c r="J15" s="234">
        <v>3127889.861152942</v>
      </c>
      <c r="L15" s="32"/>
      <c r="M15" s="33"/>
      <c r="O15" s="28"/>
      <c r="P15" s="28"/>
      <c r="Q15" s="28"/>
    </row>
    <row r="16" ht="14.25" customHeight="1">
      <c r="D16" s="235"/>
      <c r="F16" s="236"/>
      <c r="G16" s="55"/>
      <c r="H16" s="237"/>
      <c r="I16" s="238" t="s">
        <v>163</v>
      </c>
      <c r="J16" s="239">
        <v>5044796.574575055</v>
      </c>
      <c r="L16" s="32"/>
      <c r="M16" s="37"/>
      <c r="N16" s="38"/>
      <c r="O16" s="39"/>
    </row>
    <row r="17" ht="14.25" customHeight="1" collapsed="1">
      <c r="F17" s="236"/>
      <c r="G17" s="55"/>
      <c r="L17" s="22"/>
    </row>
    <row r="18" ht="15.75" hidden="1" customHeight="1" outlineLevel="1">
      <c r="B18" s="226" t="s">
        <v>22</v>
      </c>
      <c r="C18" s="17" t="s">
        <v>6</v>
      </c>
      <c r="D18" s="227">
        <f>F18*C4+IFS(C5="Cold Calling",2%*138.3522%,C5="Mercadeo",2%*101%,C5="Network - Cold Calling",2%*138.3522%,C5="Referido Imagine",5%*138.3522%,C5="Directo",0)*F18</f>
        <v>402633.9068</v>
      </c>
      <c r="E18" s="228" t="s">
        <v>159</v>
      </c>
      <c r="F18" s="229">
        <f>+C62/((1-IFS(C5="Cold Calling",2%*138.3522%,C5="Mercadeo",2%*101%,C5="Network - Cold Calling",2%*138.3522%,C5="Referido Imagine",5%*138.3522%,C5="Directo",0)-C4-D19-'Parámetros'!L5-C7*'Parámetros'!L8))*IF(C8=1,102.4%,1)</f>
        <v>5032923.835</v>
      </c>
      <c r="G18" s="230">
        <f>F18/'Parámetros'!L3</f>
        <v>1417.725024</v>
      </c>
      <c r="L18" s="22"/>
    </row>
    <row r="19" ht="16.5" hidden="1" customHeight="1" outlineLevel="1">
      <c r="B19" s="27"/>
      <c r="C19" s="17" t="s">
        <v>18</v>
      </c>
      <c r="D19" s="231">
        <v>0.2</v>
      </c>
      <c r="E19" s="228" t="s">
        <v>160</v>
      </c>
      <c r="F19" s="229">
        <f>F18/C10</f>
        <v>20131695.34</v>
      </c>
      <c r="G19" s="230">
        <f>G18/C10</f>
        <v>5670.900096</v>
      </c>
      <c r="L19" s="32"/>
      <c r="M19" s="33"/>
    </row>
    <row r="20" ht="17.25" hidden="1" customHeight="1" outlineLevel="1">
      <c r="B20" s="27"/>
      <c r="C20" s="17" t="s">
        <v>15</v>
      </c>
      <c r="D20" s="227">
        <f>F18*'Parámetros'!L5</f>
        <v>34727.17446</v>
      </c>
      <c r="E20" s="228" t="s">
        <v>161</v>
      </c>
      <c r="F20" s="229">
        <f>F18/SUM(D43:D52)/C10</f>
        <v>97254.56686</v>
      </c>
      <c r="G20" s="230">
        <f>G18/SUM(D43:D52)/C10</f>
        <v>27.39565264</v>
      </c>
      <c r="L20" s="22"/>
      <c r="M20" s="55"/>
    </row>
    <row r="21" ht="14.25" hidden="1" customHeight="1" outlineLevel="1">
      <c r="B21" s="43"/>
      <c r="C21" s="17" t="s">
        <v>9</v>
      </c>
      <c r="D21" s="240">
        <f>(((F18-C57-C59-C61-C7*'Parámetros'!L8*F18)-IF(C8=1,2.4%,0)*F18)/F18)</f>
        <v>0.7143807363</v>
      </c>
      <c r="E21" s="241"/>
      <c r="G21" s="55"/>
    </row>
    <row r="22" ht="14.25" customHeight="1">
      <c r="D22" s="55"/>
      <c r="E22" s="23"/>
      <c r="F22" s="242"/>
      <c r="G22" s="55"/>
    </row>
    <row r="23" ht="14.25" customHeight="1">
      <c r="B23" s="243" t="str">
        <f>'Parámetros'!B149</f>
        <v>Considerar como mínimo por cada Dev: 
 PM:33%, QA:20%, Diseño:10%</v>
      </c>
      <c r="C23" s="244"/>
      <c r="G23" s="55"/>
      <c r="M23" s="245"/>
    </row>
    <row r="24" ht="15.75" customHeight="1">
      <c r="B24" s="246"/>
      <c r="C24" s="244"/>
      <c r="G24" s="55"/>
    </row>
    <row r="25" ht="15.75" customHeight="1">
      <c r="E25" s="247">
        <f>SUM(E27:E34)</f>
        <v>1.15</v>
      </c>
      <c r="G25" s="248"/>
    </row>
    <row r="26" ht="14.25" customHeight="1">
      <c r="B26" s="249" t="s">
        <v>31</v>
      </c>
      <c r="C26" s="249" t="s">
        <v>32</v>
      </c>
      <c r="D26" s="249" t="s">
        <v>33</v>
      </c>
      <c r="E26" s="250" t="s">
        <v>35</v>
      </c>
      <c r="F26" s="250" t="s">
        <v>164</v>
      </c>
      <c r="G26" s="250" t="s">
        <v>165</v>
      </c>
      <c r="H26" s="250" t="s">
        <v>37</v>
      </c>
      <c r="I26" s="146"/>
      <c r="J26" s="146"/>
      <c r="L26" s="67"/>
    </row>
    <row r="27" ht="14.25" customHeight="1">
      <c r="A27" s="251">
        <f>IFERROR(__xludf.DUMMYFUNCTION("COUNTIF(SPLIT(B27,"" ""),""Developer"")"),0.0)</f>
        <v>0</v>
      </c>
      <c r="B27" s="252" t="s">
        <v>55</v>
      </c>
      <c r="C27" s="68">
        <f>IFERROR(VLOOKUP(B27,'Parámetros'!A$1:B113,2, FALSE),"")</f>
        <v>5000000</v>
      </c>
      <c r="D27" s="208" t="s">
        <v>166</v>
      </c>
      <c r="E27" s="253">
        <v>1.0</v>
      </c>
      <c r="F27" s="68">
        <f t="shared" ref="F27:F30" si="1">+IFERROR(IF(D27="Nómina",C27*1.38352,C27),"")*E27</f>
        <v>5000000</v>
      </c>
      <c r="G27" s="68">
        <f t="shared" ref="G27:G30" si="2">F27*C$10</f>
        <v>1250000</v>
      </c>
      <c r="H27" s="254">
        <f>F27/(AVERAGE('Parámetros'!$F$5:$F$6)+$F$37)</f>
        <v>0.01471857684</v>
      </c>
      <c r="I27" s="146"/>
      <c r="J27" s="146"/>
      <c r="L27" s="73"/>
    </row>
    <row r="28" ht="14.25" customHeight="1">
      <c r="A28" s="251">
        <f>IFERROR(__xludf.DUMMYFUNCTION("COUNTIF(SPLIT(B28,"" ""),""Developer"")"),0.0)</f>
        <v>0</v>
      </c>
      <c r="B28" s="255" t="s">
        <v>59</v>
      </c>
      <c r="C28" s="68">
        <v>9000000.0</v>
      </c>
      <c r="D28" s="208" t="s">
        <v>166</v>
      </c>
      <c r="E28" s="256"/>
      <c r="F28" s="68">
        <f t="shared" si="1"/>
        <v>0</v>
      </c>
      <c r="G28" s="68">
        <f t="shared" si="2"/>
        <v>0</v>
      </c>
      <c r="H28" s="254">
        <f>G28/(AVERAGE('Parámetros'!$F$5:$F$6)+$F$37)</f>
        <v>0</v>
      </c>
      <c r="I28" s="146"/>
      <c r="J28" s="146"/>
      <c r="L28" s="73"/>
      <c r="R28" s="74"/>
    </row>
    <row r="29" ht="14.25" customHeight="1">
      <c r="A29" s="251">
        <f>IFERROR(__xludf.DUMMYFUNCTION("COUNTIF(SPLIT(B29,"" ""),""Developer"")"),0.0)</f>
        <v>0</v>
      </c>
      <c r="B29" s="255" t="s">
        <v>64</v>
      </c>
      <c r="C29" s="68">
        <f>IFERROR(VLOOKUP(B29,'Parámetros'!A$1:B115,2, FALSE),"")</f>
        <v>5000000</v>
      </c>
      <c r="D29" s="208" t="s">
        <v>166</v>
      </c>
      <c r="E29" s="256">
        <v>0.15</v>
      </c>
      <c r="F29" s="68">
        <f t="shared" si="1"/>
        <v>750000</v>
      </c>
      <c r="G29" s="68">
        <f t="shared" si="2"/>
        <v>187500</v>
      </c>
      <c r="H29" s="254">
        <f>G29/(AVERAGE('Parámetros'!$F$5:$F$6)+$F$37)</f>
        <v>0.0005519466317</v>
      </c>
      <c r="I29" s="146"/>
      <c r="J29" s="146"/>
      <c r="L29" s="73"/>
    </row>
    <row r="30" ht="14.25" customHeight="1">
      <c r="A30" s="251">
        <f>IFERROR(__xludf.DUMMYFUNCTION("COUNTIF(SPLIT(B30,"" ""),""Developer"")"),0.0)</f>
        <v>0</v>
      </c>
      <c r="B30" s="255" t="s">
        <v>59</v>
      </c>
      <c r="C30" s="68">
        <v>9000000.0</v>
      </c>
      <c r="D30" s="208" t="s">
        <v>166</v>
      </c>
      <c r="E30" s="256"/>
      <c r="F30" s="68">
        <f t="shared" si="1"/>
        <v>0</v>
      </c>
      <c r="G30" s="68">
        <f t="shared" si="2"/>
        <v>0</v>
      </c>
      <c r="H30" s="254">
        <f>G30/(AVERAGE('Parámetros'!$F$5:$F$6)+$F$37)</f>
        <v>0</v>
      </c>
      <c r="I30" s="146"/>
      <c r="J30" s="146"/>
      <c r="L30" s="73"/>
    </row>
    <row r="31" ht="14.25" customHeight="1">
      <c r="A31" s="251">
        <f>IFERROR(__xludf.DUMMYFUNCTION("COUNTIF(SPLIT(B31,"" ""),""Developer"")"),0.0)</f>
        <v>0</v>
      </c>
      <c r="B31" s="252"/>
      <c r="C31" s="68"/>
      <c r="D31" s="208"/>
      <c r="E31" s="253"/>
      <c r="F31" s="68"/>
      <c r="G31" s="68"/>
      <c r="H31" s="254"/>
      <c r="I31" s="146"/>
      <c r="J31" s="146"/>
      <c r="L31" s="73"/>
    </row>
    <row r="32" ht="14.25" customHeight="1">
      <c r="A32" s="251">
        <f>IFERROR(__xludf.DUMMYFUNCTION("COUNTIF(SPLIT(B32,"" ""),""Developer"")"),0.0)</f>
        <v>0</v>
      </c>
      <c r="B32" s="255"/>
      <c r="C32" s="68"/>
      <c r="D32" s="208"/>
      <c r="E32" s="256"/>
      <c r="F32" s="68">
        <f t="shared" ref="F32:F36" si="3">+IFERROR(IF(D32="Nómina",C32*1.38352,C32),"")*E32*105%</f>
        <v>0</v>
      </c>
      <c r="G32" s="68">
        <f t="shared" ref="G32:G36" si="4">F32*C$10</f>
        <v>0</v>
      </c>
      <c r="H32" s="254">
        <f>G32/(AVERAGE('Parámetros'!$F$5:$F$6)+$F$37)</f>
        <v>0</v>
      </c>
      <c r="I32" s="146"/>
      <c r="J32" s="146"/>
      <c r="K32" s="146"/>
    </row>
    <row r="33" ht="14.25" customHeight="1">
      <c r="A33" s="251">
        <f>IFERROR(__xludf.DUMMYFUNCTION("COUNTIF(SPLIT(B33,"" ""),""Developer"")"),0.0)</f>
        <v>0</v>
      </c>
      <c r="B33" s="255"/>
      <c r="C33" s="68"/>
      <c r="D33" s="208"/>
      <c r="E33" s="258"/>
      <c r="F33" s="68">
        <f t="shared" si="3"/>
        <v>0</v>
      </c>
      <c r="G33" s="68">
        <f t="shared" si="4"/>
        <v>0</v>
      </c>
      <c r="H33" s="254">
        <f>G33/(AVERAGE('Parámetros'!$F$5:$F$6)+$F$37)</f>
        <v>0</v>
      </c>
      <c r="I33" s="146"/>
      <c r="J33" s="146"/>
      <c r="K33" s="146"/>
    </row>
    <row r="34" ht="14.25" customHeight="1">
      <c r="A34" s="251">
        <f>IFERROR(__xludf.DUMMYFUNCTION("COUNTIF(SPLIT(B34,"" ""),""Developer"")"),0.0)</f>
        <v>0</v>
      </c>
      <c r="B34" s="255"/>
      <c r="C34" s="68" t="str">
        <f>IFERROR(VLOOKUP(B34,'Parámetros'!A$1:B120,2, FALSE),"")</f>
        <v/>
      </c>
      <c r="D34" s="208"/>
      <c r="E34" s="258"/>
      <c r="F34" s="68">
        <f t="shared" si="3"/>
        <v>0</v>
      </c>
      <c r="G34" s="68">
        <f t="shared" si="4"/>
        <v>0</v>
      </c>
      <c r="H34" s="254">
        <f>G34/(AVERAGE('Parámetros'!$F$5:$F$6)+$F$37)</f>
        <v>0</v>
      </c>
      <c r="I34" s="146"/>
      <c r="J34" s="146"/>
      <c r="K34" s="146"/>
    </row>
    <row r="35" ht="14.25" customHeight="1">
      <c r="A35" s="251"/>
      <c r="B35" s="252"/>
      <c r="C35" s="68" t="str">
        <f>IFERROR(VLOOKUP(B35,'Parámetros'!A$1:B121,2, FALSE),"")</f>
        <v/>
      </c>
      <c r="D35" s="208"/>
      <c r="E35" s="258"/>
      <c r="F35" s="68">
        <f t="shared" si="3"/>
        <v>0</v>
      </c>
      <c r="G35" s="68">
        <f t="shared" si="4"/>
        <v>0</v>
      </c>
      <c r="H35" s="254">
        <f>G35/(AVERAGE('Parámetros'!$F$5:$F$6)+$F$37)</f>
        <v>0</v>
      </c>
      <c r="I35" s="146"/>
      <c r="J35" s="146"/>
      <c r="K35" s="146"/>
    </row>
    <row r="36" ht="14.25" customHeight="1">
      <c r="A36" s="251"/>
      <c r="B36" s="255"/>
      <c r="C36" s="68" t="str">
        <f>IFERROR(VLOOKUP(B36,'Parámetros'!A$1:B122,2, FALSE),"")</f>
        <v/>
      </c>
      <c r="D36" s="208"/>
      <c r="E36" s="258"/>
      <c r="F36" s="68">
        <f t="shared" si="3"/>
        <v>0</v>
      </c>
      <c r="G36" s="68">
        <f t="shared" si="4"/>
        <v>0</v>
      </c>
      <c r="H36" s="254">
        <f>G36/(AVERAGE('Parámetros'!$F$5:$F$6)+$F$37)</f>
        <v>0</v>
      </c>
      <c r="I36" s="146"/>
      <c r="J36" s="146"/>
      <c r="K36" s="146"/>
    </row>
    <row r="37" ht="14.25" customHeight="1">
      <c r="F37" s="259">
        <f t="shared" ref="F37:H37" si="5">SUM(F27:F36)</f>
        <v>5750000</v>
      </c>
      <c r="G37" s="259">
        <f t="shared" si="5"/>
        <v>1437500</v>
      </c>
      <c r="H37" s="260">
        <f t="shared" si="5"/>
        <v>0.01527052348</v>
      </c>
      <c r="M37" s="90"/>
      <c r="N37" s="91"/>
      <c r="O37" s="92"/>
      <c r="P37" s="93"/>
      <c r="Q37" s="94"/>
    </row>
    <row r="38" ht="14.25" customHeight="1">
      <c r="G38" s="55"/>
    </row>
    <row r="39" ht="14.25" customHeight="1">
      <c r="G39" s="55"/>
    </row>
    <row r="40" ht="14.25" customHeight="1">
      <c r="C40" s="261" t="s">
        <v>9</v>
      </c>
      <c r="D40" s="261" t="s">
        <v>45</v>
      </c>
      <c r="G40" s="55"/>
    </row>
    <row r="41" ht="14.25" customHeight="1">
      <c r="F41" s="97"/>
      <c r="G41" s="55"/>
    </row>
    <row r="42" ht="14.25" customHeight="1">
      <c r="B42" s="262" t="s">
        <v>31</v>
      </c>
      <c r="C42" s="261" t="s">
        <v>35</v>
      </c>
      <c r="D42" s="263" t="s">
        <v>48</v>
      </c>
      <c r="E42" s="261" t="s">
        <v>50</v>
      </c>
      <c r="F42" s="261" t="s">
        <v>159</v>
      </c>
      <c r="G42" s="55"/>
    </row>
    <row r="43" ht="14.25" customHeight="1">
      <c r="B43" s="264" t="str">
        <f t="shared" ref="B43:B52" si="6">B27</f>
        <v>Forward Deployed Product manager</v>
      </c>
      <c r="C43" s="265">
        <f t="shared" ref="C43:C52" si="7">E27</f>
        <v>1</v>
      </c>
      <c r="D43" s="266">
        <f t="shared" ref="D43:D52" si="8">C43*180</f>
        <v>180</v>
      </c>
      <c r="E43" s="267">
        <f>IFERROR((IF($C$40="Gross Margin",F27/$F$37*$F$12,IF($C$40="Net Margin",F27/$F$37*$F$18,"Error")))/D43,"")/IF($D$40="USD",'Parámetros'!$L$3,1)/$C$10</f>
        <v>31.29890454</v>
      </c>
      <c r="F43" s="267">
        <f t="shared" ref="F43:F52" si="9">E43*D43</f>
        <v>5633.802817</v>
      </c>
      <c r="G43" s="55"/>
    </row>
    <row r="44" ht="14.25" customHeight="1">
      <c r="B44" s="264" t="str">
        <f t="shared" si="6"/>
        <v>Forward Deployed Enginnier</v>
      </c>
      <c r="C44" s="265" t="str">
        <f t="shared" si="7"/>
        <v/>
      </c>
      <c r="D44" s="266">
        <f t="shared" si="8"/>
        <v>0</v>
      </c>
      <c r="E44" s="267">
        <f>IFERROR((IF($C$40="Gross Margin",F28/$F$37*$F$12,IF($C$40="Net Margin",F28/$F$37*$F$18,"Error")))/D44,"")/IF($D$40="USD",'Parámetros'!$L$3,1)/$C$10</f>
        <v>0</v>
      </c>
      <c r="F44" s="267">
        <f t="shared" si="9"/>
        <v>0</v>
      </c>
      <c r="G44" s="55"/>
    </row>
    <row r="45" ht="14.25" customHeight="1">
      <c r="B45" s="264" t="str">
        <f t="shared" si="6"/>
        <v>Forward Deployed Pruduct experience</v>
      </c>
      <c r="C45" s="265">
        <f t="shared" si="7"/>
        <v>0.15</v>
      </c>
      <c r="D45" s="266">
        <f t="shared" si="8"/>
        <v>27</v>
      </c>
      <c r="E45" s="267">
        <f>IFERROR((IF($C$40="Gross Margin",F29/$F$37*$F$12,IF($C$40="Net Margin",F29/$F$37*$F$18,"Error")))/D45,"")/IF($D$40="USD",'Parámetros'!$L$3,1)/$C$10</f>
        <v>31.29890454</v>
      </c>
      <c r="F45" s="267">
        <f t="shared" si="9"/>
        <v>845.0704225</v>
      </c>
      <c r="G45" s="23"/>
    </row>
    <row r="46" ht="14.25" customHeight="1">
      <c r="B46" s="264" t="str">
        <f t="shared" si="6"/>
        <v>Forward Deployed Enginnier</v>
      </c>
      <c r="C46" s="265" t="str">
        <f t="shared" si="7"/>
        <v/>
      </c>
      <c r="D46" s="266">
        <f t="shared" si="8"/>
        <v>0</v>
      </c>
      <c r="E46" s="267">
        <f>IFERROR((IF($C$40="Gross Margin",F30/$F$37*$F$12,IF($C$40="Net Margin",F30/$F$37*$F$18,"Error")))/D46,"")/IF($D$40="USD",'Parámetros'!$L$3,1)/$C$10</f>
        <v>0</v>
      </c>
      <c r="F46" s="267">
        <f t="shared" si="9"/>
        <v>0</v>
      </c>
      <c r="G46" s="23"/>
    </row>
    <row r="47" ht="14.25" customHeight="1">
      <c r="B47" s="264" t="str">
        <f t="shared" si="6"/>
        <v/>
      </c>
      <c r="C47" s="265" t="str">
        <f t="shared" si="7"/>
        <v/>
      </c>
      <c r="D47" s="266">
        <f t="shared" si="8"/>
        <v>0</v>
      </c>
      <c r="E47" s="267">
        <f>IFERROR((IF($C$40="Gross Margin",F31/$F$37*$F$12,IF($C$40="Net Margin",F31/$F$37*$F$18,"Error")))/D47,"")/IF($D$40="USD",'Parámetros'!$L$3,1)/$C$10</f>
        <v>0</v>
      </c>
      <c r="F47" s="267">
        <f t="shared" si="9"/>
        <v>0</v>
      </c>
      <c r="G47" s="55"/>
    </row>
    <row r="48" ht="14.25" customHeight="1">
      <c r="B48" s="264" t="str">
        <f t="shared" si="6"/>
        <v/>
      </c>
      <c r="C48" s="265" t="str">
        <f t="shared" si="7"/>
        <v/>
      </c>
      <c r="D48" s="266">
        <f t="shared" si="8"/>
        <v>0</v>
      </c>
      <c r="E48" s="267">
        <f>IFERROR((IF($C$40="Gross Margin",F32/$F$37*$F$12,IF($C$40="Net Margin",F32/$F$37*$F$18,"Error")))/D48,"")/IF($D$40="USD",'Parámetros'!$L$3,1)</f>
        <v>0</v>
      </c>
      <c r="F48" s="267">
        <f t="shared" si="9"/>
        <v>0</v>
      </c>
      <c r="G48" s="55"/>
    </row>
    <row r="49" ht="14.25" customHeight="1">
      <c r="B49" s="264" t="str">
        <f t="shared" si="6"/>
        <v/>
      </c>
      <c r="C49" s="265" t="str">
        <f t="shared" si="7"/>
        <v/>
      </c>
      <c r="D49" s="266">
        <f t="shared" si="8"/>
        <v>0</v>
      </c>
      <c r="E49" s="267">
        <f>IFERROR((IF($C$40="Gross Margin",F33/$F$37*$F$12,IF($C$40="Net Margin",F33/$F$37*$F$18,"Error")))/D49,"")/IF($D$40="USD",'Parámetros'!$L$3,1)</f>
        <v>0</v>
      </c>
      <c r="F49" s="267">
        <f t="shared" si="9"/>
        <v>0</v>
      </c>
      <c r="G49" s="55"/>
    </row>
    <row r="50" ht="14.25" customHeight="1">
      <c r="B50" s="264" t="str">
        <f t="shared" si="6"/>
        <v/>
      </c>
      <c r="C50" s="265" t="str">
        <f t="shared" si="7"/>
        <v/>
      </c>
      <c r="D50" s="266">
        <f t="shared" si="8"/>
        <v>0</v>
      </c>
      <c r="E50" s="267">
        <f>IFERROR((IF($C$40="Gross Margin",F34/$F$37*$F$12,IF($C$40="Net Margin",F34/$F$37*$F$18,"Error")))/D50,"")/IF($D$40="USD",'Parámetros'!$L$3,1)</f>
        <v>0</v>
      </c>
      <c r="F50" s="267">
        <f t="shared" si="9"/>
        <v>0</v>
      </c>
      <c r="G50" s="55"/>
    </row>
    <row r="51" ht="14.25" customHeight="1">
      <c r="B51" s="264" t="str">
        <f t="shared" si="6"/>
        <v/>
      </c>
      <c r="C51" s="265" t="str">
        <f t="shared" si="7"/>
        <v/>
      </c>
      <c r="D51" s="266">
        <f t="shared" si="8"/>
        <v>0</v>
      </c>
      <c r="E51" s="267">
        <f>IFERROR((IF($C$40="Gross Margin",F35/$F$37*$F$12,IF($C$40="Net Margin",F35/$F$37*$F$18,"Error")))/D51,"")/IF($D$40="USD",'Parámetros'!$L$3,1)</f>
        <v>0</v>
      </c>
      <c r="F51" s="267">
        <f t="shared" si="9"/>
        <v>0</v>
      </c>
      <c r="G51" s="55"/>
    </row>
    <row r="52" ht="14.25" customHeight="1">
      <c r="B52" s="264" t="str">
        <f t="shared" si="6"/>
        <v/>
      </c>
      <c r="C52" s="265" t="str">
        <f t="shared" si="7"/>
        <v/>
      </c>
      <c r="D52" s="268">
        <f t="shared" si="8"/>
        <v>0</v>
      </c>
      <c r="E52" s="267">
        <f>IFERROR((IF($C$40="Gross Margin",F36/$F$37*$F$12,IF($C$40="Net Margin",F36/$F$37*$F$18,"Error")))/D52,"")/IF($D$40="USD",'Parámetros'!$L$3,1)</f>
        <v>0</v>
      </c>
      <c r="F52" s="267">
        <f t="shared" si="9"/>
        <v>0</v>
      </c>
      <c r="G52" s="55"/>
    </row>
    <row r="53" ht="14.25" customHeight="1">
      <c r="E53" s="269" t="s">
        <v>52</v>
      </c>
      <c r="F53" s="270">
        <f>SUM(F43:F52)</f>
        <v>6478.873239</v>
      </c>
      <c r="G53" s="55"/>
    </row>
    <row r="54" ht="14.25" customHeight="1">
      <c r="E54" s="269" t="s">
        <v>167</v>
      </c>
      <c r="F54" s="270">
        <f>F53-G13</f>
        <v>0</v>
      </c>
      <c r="G54" s="55"/>
    </row>
    <row r="55" ht="14.25" customHeight="1">
      <c r="D55" s="271"/>
      <c r="E55" s="271"/>
      <c r="G55" s="55"/>
    </row>
    <row r="56" ht="14.25" customHeight="1">
      <c r="B56" s="272" t="s">
        <v>11</v>
      </c>
      <c r="C56" s="272" t="s">
        <v>52</v>
      </c>
      <c r="D56" s="273" t="s">
        <v>116</v>
      </c>
      <c r="E56" s="274"/>
      <c r="G56" s="55"/>
    </row>
    <row r="57" ht="14.25" customHeight="1" outlineLevel="1">
      <c r="A57" s="33"/>
      <c r="B57" s="275" t="s">
        <v>14</v>
      </c>
      <c r="C57" s="276">
        <f>G37</f>
        <v>1437500</v>
      </c>
      <c r="D57" s="276">
        <f t="shared" ref="D57:D62" si="10">C57/C$10</f>
        <v>5750000</v>
      </c>
      <c r="E57" s="277"/>
      <c r="F57" s="33"/>
      <c r="G57" s="37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</row>
    <row r="58" ht="14.25" customHeight="1" outlineLevel="1">
      <c r="A58" s="33"/>
      <c r="B58" s="278" t="s">
        <v>17</v>
      </c>
      <c r="C58" s="279">
        <f>C60+C61+C59</f>
        <v>2151477.987</v>
      </c>
      <c r="D58" s="279">
        <f t="shared" si="10"/>
        <v>8605911.947</v>
      </c>
      <c r="E58" s="277"/>
      <c r="F58" s="33"/>
      <c r="G58" s="37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</row>
    <row r="59" ht="14.25" customHeight="1" outlineLevel="1">
      <c r="B59" s="280" t="s">
        <v>19</v>
      </c>
      <c r="C59" s="70"/>
      <c r="D59" s="70">
        <f t="shared" si="10"/>
        <v>0</v>
      </c>
      <c r="E59" s="271"/>
      <c r="G59" s="55"/>
    </row>
    <row r="60" ht="14.25" customHeight="1" outlineLevel="1">
      <c r="B60" s="280" t="s">
        <v>20</v>
      </c>
      <c r="C60" s="281">
        <f>H37*AVERAGE('Parámetros'!G8:G9)*IF(C2="Network",15%,100%)*IF(C2="Enterprise",40%,100%)</f>
        <v>2151477.987</v>
      </c>
      <c r="D60" s="281">
        <f t="shared" si="10"/>
        <v>8605911.947</v>
      </c>
      <c r="E60" s="282"/>
      <c r="G60" s="55"/>
    </row>
    <row r="61" ht="14.25" customHeight="1" outlineLevel="1">
      <c r="B61" s="280" t="s">
        <v>21</v>
      </c>
      <c r="C61" s="70"/>
      <c r="D61" s="70">
        <f t="shared" si="10"/>
        <v>0</v>
      </c>
      <c r="E61" s="282"/>
      <c r="G61" s="55"/>
    </row>
    <row r="62" ht="14.25" customHeight="1">
      <c r="B62" s="283" t="s">
        <v>23</v>
      </c>
      <c r="C62" s="284">
        <f>C57+C58</f>
        <v>3588977.987</v>
      </c>
      <c r="D62" s="284">
        <f t="shared" si="10"/>
        <v>14355911.95</v>
      </c>
      <c r="E62" s="277"/>
      <c r="G62" s="55"/>
    </row>
    <row r="63" ht="14.25" customHeight="1">
      <c r="B63" s="285" t="s">
        <v>168</v>
      </c>
      <c r="C63" s="286">
        <f t="shared" ref="C63:D63" si="11">C57+C59+C61</f>
        <v>1437500</v>
      </c>
      <c r="D63" s="286">
        <f t="shared" si="11"/>
        <v>5750000</v>
      </c>
      <c r="E63" s="287"/>
      <c r="G63" s="55"/>
    </row>
    <row r="64">
      <c r="D64" s="271"/>
      <c r="E64" s="271"/>
      <c r="G64" s="55"/>
    </row>
    <row r="65" ht="14.25" customHeight="1">
      <c r="G65" s="55"/>
    </row>
    <row r="66" ht="14.25" customHeight="1">
      <c r="G66" s="55"/>
    </row>
    <row r="67" ht="14.25" customHeight="1">
      <c r="G67" s="55"/>
    </row>
    <row r="68" ht="14.25" customHeight="1">
      <c r="G68" s="55"/>
    </row>
    <row r="69" ht="14.25" customHeight="1">
      <c r="G69" s="55"/>
    </row>
    <row r="70" ht="14.25" customHeight="1">
      <c r="G70" s="55"/>
    </row>
    <row r="71" ht="14.25" customHeight="1">
      <c r="G71" s="55"/>
    </row>
    <row r="72" ht="14.25" customHeight="1">
      <c r="G72" s="55"/>
    </row>
    <row r="73" ht="14.25" customHeight="1">
      <c r="G73" s="55"/>
    </row>
    <row r="74" ht="14.25" customHeight="1">
      <c r="G74" s="55"/>
    </row>
    <row r="75" ht="14.25" customHeight="1">
      <c r="G75" s="55"/>
    </row>
    <row r="76" ht="14.25" customHeight="1">
      <c r="G76" s="55"/>
    </row>
    <row r="77" ht="14.25" customHeight="1">
      <c r="G77" s="55"/>
    </row>
    <row r="78" ht="14.25" customHeight="1">
      <c r="G78" s="55"/>
    </row>
    <row r="79" ht="14.25" customHeight="1">
      <c r="G79" s="55"/>
    </row>
    <row r="80" ht="14.25" customHeight="1">
      <c r="G80" s="55"/>
    </row>
    <row r="81" ht="14.25" customHeight="1">
      <c r="G81" s="55"/>
    </row>
    <row r="82" ht="14.25" customHeight="1">
      <c r="G82" s="55"/>
    </row>
    <row r="83" ht="14.25" customHeight="1">
      <c r="G83" s="55"/>
    </row>
    <row r="84" ht="14.25" customHeight="1">
      <c r="G84" s="55"/>
    </row>
    <row r="85" ht="14.25" customHeight="1">
      <c r="G85" s="55"/>
    </row>
    <row r="86" ht="14.25" customHeight="1">
      <c r="G86" s="55"/>
    </row>
    <row r="87" ht="14.25" customHeight="1">
      <c r="G87" s="55"/>
    </row>
    <row r="88" ht="14.25" customHeight="1">
      <c r="G88" s="55"/>
    </row>
    <row r="89" ht="14.25" customHeight="1">
      <c r="G89" s="55"/>
    </row>
    <row r="90" ht="14.25" customHeight="1">
      <c r="G90" s="55"/>
    </row>
    <row r="91" ht="14.25" customHeight="1">
      <c r="G91" s="55"/>
    </row>
    <row r="92" ht="14.25" customHeight="1">
      <c r="G92" s="55"/>
    </row>
    <row r="93" ht="14.25" customHeight="1">
      <c r="G93" s="55"/>
    </row>
    <row r="94" ht="14.25" customHeight="1">
      <c r="G94" s="55"/>
    </row>
    <row r="95" ht="14.25" customHeight="1">
      <c r="G95" s="55"/>
    </row>
    <row r="96" ht="14.25" customHeight="1">
      <c r="G96" s="55"/>
    </row>
    <row r="97" ht="14.25" customHeight="1">
      <c r="G97" s="55"/>
    </row>
    <row r="98" ht="14.25" customHeight="1">
      <c r="G98" s="55"/>
    </row>
    <row r="99" ht="14.25" customHeight="1">
      <c r="G99" s="55"/>
    </row>
    <row r="100" ht="14.25" customHeight="1">
      <c r="G100" s="55"/>
    </row>
    <row r="101" ht="14.25" customHeight="1">
      <c r="G101" s="55"/>
    </row>
    <row r="102" ht="14.25" customHeight="1">
      <c r="G102" s="55"/>
    </row>
    <row r="103" ht="14.25" customHeight="1">
      <c r="G103" s="55"/>
    </row>
    <row r="104" ht="14.25" customHeight="1">
      <c r="G104" s="55"/>
    </row>
    <row r="105" ht="14.25" customHeight="1">
      <c r="G105" s="55"/>
    </row>
    <row r="106" ht="14.25" customHeight="1">
      <c r="G106" s="55"/>
    </row>
    <row r="107" ht="14.25" customHeight="1">
      <c r="G107" s="55"/>
    </row>
    <row r="108" ht="14.25" customHeight="1">
      <c r="G108" s="55"/>
    </row>
    <row r="109" ht="14.25" customHeight="1">
      <c r="G109" s="55"/>
    </row>
    <row r="110" ht="14.25" customHeight="1">
      <c r="G110" s="55"/>
    </row>
    <row r="111" ht="14.25" customHeight="1">
      <c r="G111" s="55"/>
    </row>
    <row r="112" ht="14.25" customHeight="1">
      <c r="G112" s="55"/>
    </row>
    <row r="113" ht="14.25" customHeight="1">
      <c r="G113" s="55"/>
    </row>
    <row r="114" ht="14.25" customHeight="1">
      <c r="G114" s="55"/>
    </row>
    <row r="115" ht="14.25" customHeight="1">
      <c r="G115" s="55"/>
    </row>
    <row r="116" ht="14.25" customHeight="1">
      <c r="G116" s="55"/>
    </row>
    <row r="117" ht="14.25" customHeight="1">
      <c r="G117" s="55"/>
    </row>
    <row r="118" ht="14.25" customHeight="1">
      <c r="G118" s="55"/>
    </row>
    <row r="119" ht="14.25" customHeight="1">
      <c r="G119" s="55"/>
    </row>
    <row r="120" ht="14.25" customHeight="1">
      <c r="G120" s="55"/>
    </row>
    <row r="121" ht="14.25" customHeight="1">
      <c r="G121" s="55"/>
    </row>
    <row r="122" ht="14.25" customHeight="1">
      <c r="G122" s="55"/>
    </row>
    <row r="123" ht="14.25" customHeight="1">
      <c r="G123" s="55"/>
    </row>
    <row r="124" ht="14.25" customHeight="1">
      <c r="G124" s="55"/>
    </row>
    <row r="125" ht="14.25" customHeight="1">
      <c r="G125" s="55"/>
    </row>
    <row r="126" ht="14.25" customHeight="1">
      <c r="G126" s="55"/>
    </row>
    <row r="127" ht="14.25" customHeight="1">
      <c r="G127" s="55"/>
    </row>
    <row r="128" ht="14.25" customHeight="1">
      <c r="G128" s="55"/>
    </row>
    <row r="129" ht="14.25" customHeight="1">
      <c r="G129" s="55"/>
    </row>
    <row r="130" ht="14.25" customHeight="1">
      <c r="G130" s="55"/>
    </row>
    <row r="131" ht="14.25" customHeight="1">
      <c r="G131" s="55"/>
    </row>
    <row r="132" ht="14.25" customHeight="1">
      <c r="G132" s="55"/>
    </row>
    <row r="133" ht="14.25" customHeight="1">
      <c r="G133" s="55"/>
    </row>
    <row r="134" ht="14.25" customHeight="1">
      <c r="G134" s="55"/>
    </row>
    <row r="135" ht="14.25" customHeight="1">
      <c r="G135" s="55"/>
    </row>
    <row r="136" ht="14.25" customHeight="1">
      <c r="G136" s="55"/>
    </row>
    <row r="137" ht="14.25" customHeight="1">
      <c r="G137" s="55"/>
    </row>
    <row r="138" ht="14.25" customHeight="1">
      <c r="G138" s="55"/>
    </row>
    <row r="139" ht="14.25" customHeight="1">
      <c r="G139" s="55"/>
    </row>
    <row r="140" ht="14.25" customHeight="1">
      <c r="G140" s="55"/>
    </row>
    <row r="141" ht="14.25" customHeight="1">
      <c r="G141" s="55"/>
    </row>
    <row r="142" ht="14.25" customHeight="1">
      <c r="G142" s="55"/>
    </row>
    <row r="143" ht="14.25" customHeight="1">
      <c r="G143" s="55"/>
    </row>
    <row r="144" ht="14.25" customHeight="1">
      <c r="G144" s="55"/>
    </row>
    <row r="145" ht="14.25" customHeight="1">
      <c r="G145" s="55"/>
    </row>
    <row r="146" ht="14.25" customHeight="1">
      <c r="G146" s="55"/>
    </row>
    <row r="147" ht="14.25" customHeight="1">
      <c r="G147" s="55"/>
    </row>
    <row r="148" ht="14.25" customHeight="1">
      <c r="G148" s="55"/>
    </row>
    <row r="149" ht="14.25" customHeight="1">
      <c r="G149" s="55"/>
    </row>
    <row r="150" ht="14.25" customHeight="1">
      <c r="G150" s="55"/>
    </row>
    <row r="151" ht="14.25" customHeight="1">
      <c r="G151" s="55"/>
    </row>
    <row r="152" ht="14.25" customHeight="1">
      <c r="G152" s="55"/>
    </row>
    <row r="153" ht="14.25" customHeight="1">
      <c r="G153" s="55"/>
    </row>
    <row r="154" ht="14.25" customHeight="1">
      <c r="G154" s="55"/>
    </row>
    <row r="155" ht="14.25" customHeight="1">
      <c r="G155" s="55"/>
    </row>
    <row r="156" ht="14.25" customHeight="1">
      <c r="G156" s="55"/>
    </row>
    <row r="157" ht="14.25" customHeight="1">
      <c r="G157" s="55"/>
    </row>
    <row r="158" ht="14.25" customHeight="1">
      <c r="G158" s="55"/>
    </row>
    <row r="159" ht="14.25" customHeight="1">
      <c r="G159" s="55"/>
    </row>
    <row r="160" ht="14.25" customHeight="1">
      <c r="G160" s="55"/>
    </row>
    <row r="161" ht="14.25" customHeight="1">
      <c r="G161" s="55"/>
    </row>
    <row r="162" ht="14.25" customHeight="1">
      <c r="G162" s="55"/>
    </row>
    <row r="163" ht="14.25" customHeight="1">
      <c r="G163" s="55"/>
    </row>
    <row r="164" ht="14.25" customHeight="1">
      <c r="G164" s="55"/>
    </row>
    <row r="165" ht="14.25" customHeight="1">
      <c r="G165" s="55"/>
    </row>
    <row r="166" ht="14.25" customHeight="1">
      <c r="G166" s="55"/>
    </row>
    <row r="167" ht="14.25" customHeight="1">
      <c r="G167" s="55"/>
    </row>
    <row r="168" ht="14.25" customHeight="1">
      <c r="G168" s="55"/>
    </row>
    <row r="169" ht="14.25" customHeight="1">
      <c r="G169" s="55"/>
    </row>
    <row r="170" ht="14.25" customHeight="1">
      <c r="G170" s="55"/>
    </row>
    <row r="171" ht="14.25" customHeight="1">
      <c r="G171" s="55"/>
    </row>
    <row r="172" ht="14.25" customHeight="1">
      <c r="G172" s="55"/>
    </row>
    <row r="173" ht="14.25" customHeight="1">
      <c r="G173" s="55"/>
    </row>
    <row r="174" ht="14.25" customHeight="1">
      <c r="G174" s="55"/>
    </row>
    <row r="175" ht="14.25" customHeight="1">
      <c r="G175" s="55"/>
    </row>
    <row r="176" ht="14.25" customHeight="1">
      <c r="G176" s="55"/>
    </row>
    <row r="177" ht="14.25" customHeight="1">
      <c r="G177" s="55"/>
    </row>
    <row r="178" ht="14.25" customHeight="1">
      <c r="G178" s="55"/>
    </row>
    <row r="179" ht="14.25" customHeight="1">
      <c r="G179" s="55"/>
    </row>
    <row r="180" ht="14.25" customHeight="1">
      <c r="G180" s="55"/>
    </row>
    <row r="181" ht="14.25" customHeight="1">
      <c r="G181" s="55"/>
    </row>
    <row r="182" ht="14.25" customHeight="1">
      <c r="G182" s="55"/>
    </row>
    <row r="183" ht="14.25" customHeight="1">
      <c r="G183" s="55"/>
    </row>
    <row r="184" ht="14.25" customHeight="1">
      <c r="G184" s="55"/>
    </row>
    <row r="185" ht="14.25" customHeight="1">
      <c r="G185" s="55"/>
    </row>
    <row r="186" ht="14.25" customHeight="1">
      <c r="G186" s="55"/>
    </row>
    <row r="187" ht="14.25" customHeight="1">
      <c r="G187" s="55"/>
    </row>
    <row r="188" ht="14.25" customHeight="1">
      <c r="G188" s="55"/>
    </row>
    <row r="189" ht="14.25" customHeight="1">
      <c r="G189" s="55"/>
    </row>
    <row r="190" ht="14.25" customHeight="1">
      <c r="G190" s="55"/>
    </row>
    <row r="191" ht="14.25" customHeight="1">
      <c r="G191" s="55"/>
    </row>
    <row r="192" ht="14.25" customHeight="1">
      <c r="G192" s="55"/>
    </row>
    <row r="193" ht="14.25" customHeight="1">
      <c r="G193" s="55"/>
    </row>
    <row r="194" ht="14.25" customHeight="1">
      <c r="G194" s="55"/>
    </row>
    <row r="195" ht="14.25" customHeight="1">
      <c r="G195" s="55"/>
    </row>
    <row r="196" ht="14.25" customHeight="1">
      <c r="G196" s="55"/>
    </row>
    <row r="197" ht="14.25" customHeight="1">
      <c r="G197" s="55"/>
    </row>
    <row r="198" ht="14.25" customHeight="1">
      <c r="G198" s="55"/>
    </row>
    <row r="199" ht="14.25" customHeight="1">
      <c r="G199" s="55"/>
    </row>
    <row r="200" ht="14.25" customHeight="1">
      <c r="G200" s="55"/>
    </row>
    <row r="201" ht="14.25" customHeight="1">
      <c r="G201" s="55"/>
    </row>
    <row r="202" ht="14.25" customHeight="1">
      <c r="G202" s="55"/>
    </row>
    <row r="203" ht="14.25" customHeight="1">
      <c r="G203" s="55"/>
    </row>
    <row r="204" ht="14.25" customHeight="1">
      <c r="G204" s="55"/>
    </row>
    <row r="205" ht="14.25" customHeight="1">
      <c r="G205" s="55"/>
    </row>
    <row r="206" ht="14.25" customHeight="1">
      <c r="G206" s="55"/>
    </row>
    <row r="207" ht="14.25" customHeight="1">
      <c r="G207" s="55"/>
    </row>
    <row r="208" ht="14.25" customHeight="1">
      <c r="G208" s="55"/>
    </row>
    <row r="209" ht="14.25" customHeight="1">
      <c r="G209" s="55"/>
    </row>
    <row r="210" ht="14.25" customHeight="1">
      <c r="G210" s="55"/>
    </row>
    <row r="211" ht="14.25" customHeight="1">
      <c r="G211" s="55"/>
    </row>
    <row r="212" ht="14.25" customHeight="1">
      <c r="G212" s="55"/>
    </row>
    <row r="213" ht="14.25" customHeight="1">
      <c r="G213" s="55"/>
    </row>
    <row r="214" ht="14.25" customHeight="1">
      <c r="G214" s="55"/>
    </row>
    <row r="215" ht="14.25" customHeight="1">
      <c r="G215" s="55"/>
    </row>
    <row r="216" ht="14.25" customHeight="1">
      <c r="G216" s="55"/>
    </row>
    <row r="217" ht="14.25" customHeight="1">
      <c r="G217" s="55"/>
    </row>
    <row r="218" ht="14.25" customHeight="1">
      <c r="G218" s="55"/>
    </row>
    <row r="219" ht="14.25" customHeight="1">
      <c r="G219" s="55"/>
    </row>
    <row r="220" ht="14.25" customHeight="1">
      <c r="G220" s="55"/>
    </row>
    <row r="221" ht="14.25" customHeight="1">
      <c r="G221" s="55"/>
    </row>
    <row r="222" ht="14.25" customHeight="1">
      <c r="G222" s="55"/>
    </row>
    <row r="223" ht="14.25" customHeight="1">
      <c r="G223" s="55"/>
    </row>
    <row r="224" ht="14.25" customHeight="1">
      <c r="G224" s="55"/>
    </row>
    <row r="225" ht="14.25" customHeight="1">
      <c r="G225" s="55"/>
    </row>
    <row r="226" ht="14.25" customHeight="1">
      <c r="G226" s="55"/>
    </row>
    <row r="227" ht="14.25" customHeight="1">
      <c r="G227" s="55"/>
    </row>
    <row r="228" ht="14.25" customHeight="1">
      <c r="G228" s="55"/>
    </row>
    <row r="229" ht="14.25" customHeight="1">
      <c r="G229" s="55"/>
    </row>
    <row r="230" ht="14.25" customHeight="1">
      <c r="G230" s="55"/>
    </row>
    <row r="231" ht="14.25" customHeight="1">
      <c r="G231" s="55"/>
    </row>
    <row r="232" ht="14.25" customHeight="1">
      <c r="G232" s="55"/>
    </row>
    <row r="233" ht="14.25" customHeight="1">
      <c r="G233" s="55"/>
    </row>
    <row r="234" ht="14.25" customHeight="1">
      <c r="G234" s="55"/>
    </row>
    <row r="235" ht="14.25" customHeight="1">
      <c r="G235" s="55"/>
    </row>
    <row r="236" ht="14.25" customHeight="1">
      <c r="G236" s="55"/>
    </row>
    <row r="237" ht="14.25" customHeight="1">
      <c r="G237" s="55"/>
    </row>
    <row r="238" ht="14.25" customHeight="1">
      <c r="G238" s="55"/>
    </row>
    <row r="239" ht="14.25" customHeight="1">
      <c r="G239" s="55"/>
    </row>
    <row r="240" ht="14.25" customHeight="1">
      <c r="G240" s="55"/>
    </row>
    <row r="241" ht="14.25" customHeight="1">
      <c r="G241" s="55"/>
    </row>
    <row r="242" ht="14.25" customHeight="1">
      <c r="G242" s="55"/>
    </row>
    <row r="243" ht="14.25" customHeight="1">
      <c r="G243" s="55"/>
    </row>
    <row r="244" ht="14.25" customHeight="1">
      <c r="G244" s="55"/>
    </row>
    <row r="245" ht="14.25" customHeight="1">
      <c r="G245" s="55"/>
    </row>
    <row r="246" ht="14.25" customHeight="1">
      <c r="G246" s="55"/>
    </row>
    <row r="247" ht="14.25" customHeight="1">
      <c r="G247" s="55"/>
    </row>
    <row r="248" ht="14.25" customHeight="1">
      <c r="G248" s="55"/>
    </row>
    <row r="249" ht="14.25" customHeight="1">
      <c r="G249" s="55"/>
    </row>
    <row r="250" ht="14.25" customHeight="1">
      <c r="G250" s="55"/>
    </row>
    <row r="251" ht="14.25" customHeight="1">
      <c r="G251" s="55"/>
    </row>
    <row r="252" ht="14.25" customHeight="1">
      <c r="G252" s="55"/>
    </row>
    <row r="253" ht="14.25" customHeight="1">
      <c r="G253" s="55"/>
    </row>
    <row r="254" ht="14.25" customHeight="1">
      <c r="G254" s="55"/>
    </row>
    <row r="255" ht="14.25" customHeight="1">
      <c r="G255" s="55"/>
    </row>
    <row r="256" ht="14.25" customHeight="1">
      <c r="G256" s="55"/>
    </row>
    <row r="257" ht="14.25" customHeight="1">
      <c r="G257" s="55"/>
    </row>
    <row r="258" ht="14.25" customHeight="1">
      <c r="G258" s="55"/>
    </row>
    <row r="259" ht="14.25" customHeight="1">
      <c r="G259" s="55"/>
    </row>
    <row r="260" ht="14.25" customHeight="1">
      <c r="G260" s="55"/>
    </row>
    <row r="261" ht="14.25" customHeight="1">
      <c r="G261" s="55"/>
    </row>
    <row r="262" ht="14.25" customHeight="1">
      <c r="G262" s="55"/>
    </row>
    <row r="263" ht="14.25" customHeight="1">
      <c r="G263" s="55"/>
    </row>
    <row r="264" ht="14.25" customHeight="1">
      <c r="G264" s="55"/>
    </row>
    <row r="265" ht="14.25" customHeight="1">
      <c r="G265" s="55"/>
    </row>
    <row r="266" ht="14.25" customHeight="1">
      <c r="G266" s="55"/>
    </row>
    <row r="267" ht="14.25" customHeight="1">
      <c r="G267" s="55"/>
    </row>
    <row r="268" ht="14.25" customHeight="1">
      <c r="G268" s="55"/>
    </row>
    <row r="269" ht="14.25" customHeight="1">
      <c r="G269" s="55"/>
    </row>
    <row r="270" ht="14.25" customHeight="1">
      <c r="G270" s="55"/>
    </row>
    <row r="271" ht="14.25" customHeight="1">
      <c r="G271" s="55"/>
    </row>
    <row r="272" ht="14.25" customHeight="1">
      <c r="G272" s="55"/>
    </row>
    <row r="273" ht="14.25" customHeight="1">
      <c r="G273" s="55"/>
    </row>
    <row r="274" ht="14.25" customHeight="1">
      <c r="G274" s="55"/>
    </row>
    <row r="275" ht="14.25" customHeight="1">
      <c r="G275" s="55"/>
    </row>
    <row r="276" ht="14.25" customHeight="1">
      <c r="G276" s="55"/>
    </row>
    <row r="277" ht="14.25" customHeight="1">
      <c r="G277" s="55"/>
    </row>
    <row r="278" ht="14.25" customHeight="1">
      <c r="G278" s="55"/>
    </row>
    <row r="279" ht="14.25" customHeight="1">
      <c r="G279" s="55"/>
    </row>
    <row r="280" ht="14.25" customHeight="1">
      <c r="G280" s="55"/>
    </row>
    <row r="281" ht="14.25" customHeight="1">
      <c r="G281" s="55"/>
    </row>
    <row r="282" ht="14.25" customHeight="1">
      <c r="G282" s="55"/>
    </row>
    <row r="283" ht="14.25" customHeight="1">
      <c r="G283" s="55"/>
    </row>
    <row r="284" ht="14.25" customHeight="1">
      <c r="G284" s="55"/>
    </row>
    <row r="285" ht="14.25" customHeight="1">
      <c r="G285" s="55"/>
    </row>
    <row r="286" ht="14.25" customHeight="1">
      <c r="G286" s="55"/>
    </row>
    <row r="287" ht="14.25" customHeight="1">
      <c r="G287" s="55"/>
    </row>
    <row r="288" ht="14.25" customHeight="1">
      <c r="G288" s="55"/>
    </row>
    <row r="289" ht="14.25" customHeight="1">
      <c r="G289" s="55"/>
    </row>
    <row r="290" ht="14.25" customHeight="1">
      <c r="G290" s="55"/>
    </row>
    <row r="291" ht="14.25" customHeight="1">
      <c r="G291" s="55"/>
    </row>
    <row r="292" ht="14.25" customHeight="1">
      <c r="G292" s="55"/>
    </row>
    <row r="293" ht="14.25" customHeight="1">
      <c r="G293" s="55"/>
    </row>
    <row r="294" ht="14.25" customHeight="1">
      <c r="G294" s="55"/>
    </row>
    <row r="295" ht="14.25" customHeight="1">
      <c r="G295" s="55"/>
    </row>
    <row r="296" ht="14.25" customHeight="1">
      <c r="G296" s="55"/>
    </row>
    <row r="297" ht="14.25" customHeight="1">
      <c r="G297" s="55"/>
    </row>
    <row r="298" ht="14.25" customHeight="1">
      <c r="G298" s="55"/>
    </row>
    <row r="299" ht="14.25" customHeight="1">
      <c r="G299" s="55"/>
    </row>
    <row r="300" ht="14.25" customHeight="1">
      <c r="G300" s="55"/>
    </row>
    <row r="301" ht="14.25" customHeight="1">
      <c r="G301" s="55"/>
    </row>
    <row r="302" ht="14.25" customHeight="1">
      <c r="G302" s="55"/>
    </row>
    <row r="303" ht="14.25" customHeight="1">
      <c r="G303" s="55"/>
    </row>
    <row r="304" ht="14.25" customHeight="1">
      <c r="G304" s="55"/>
    </row>
    <row r="305" ht="14.25" customHeight="1">
      <c r="G305" s="55"/>
    </row>
    <row r="306" ht="14.25" customHeight="1">
      <c r="G306" s="55"/>
    </row>
    <row r="307" ht="14.25" customHeight="1">
      <c r="G307" s="55"/>
    </row>
    <row r="308" ht="14.25" customHeight="1">
      <c r="G308" s="55"/>
    </row>
    <row r="309" ht="14.25" customHeight="1">
      <c r="G309" s="55"/>
    </row>
    <row r="310" ht="14.25" customHeight="1">
      <c r="G310" s="55"/>
    </row>
    <row r="311" ht="14.25" customHeight="1">
      <c r="G311" s="55"/>
    </row>
    <row r="312" ht="14.25" customHeight="1">
      <c r="G312" s="55"/>
    </row>
    <row r="313" ht="14.25" customHeight="1">
      <c r="G313" s="55"/>
    </row>
    <row r="314" ht="14.25" customHeight="1">
      <c r="G314" s="55"/>
    </row>
    <row r="315" ht="14.25" customHeight="1">
      <c r="G315" s="55"/>
    </row>
    <row r="316" ht="14.25" customHeight="1">
      <c r="G316" s="55"/>
    </row>
    <row r="317" ht="14.25" customHeight="1">
      <c r="G317" s="55"/>
    </row>
    <row r="318" ht="14.25" customHeight="1">
      <c r="G318" s="55"/>
    </row>
    <row r="319" ht="14.25" customHeight="1">
      <c r="G319" s="55"/>
    </row>
    <row r="320" ht="14.25" customHeight="1">
      <c r="G320" s="55"/>
    </row>
    <row r="321" ht="14.25" customHeight="1">
      <c r="G321" s="55"/>
    </row>
    <row r="322" ht="14.25" customHeight="1">
      <c r="G322" s="55"/>
    </row>
    <row r="323" ht="14.25" customHeight="1">
      <c r="G323" s="55"/>
    </row>
    <row r="324" ht="14.25" customHeight="1">
      <c r="G324" s="55"/>
    </row>
    <row r="325" ht="14.25" customHeight="1">
      <c r="G325" s="55"/>
    </row>
    <row r="326" ht="14.25" customHeight="1">
      <c r="G326" s="55"/>
    </row>
    <row r="327" ht="14.25" customHeight="1">
      <c r="G327" s="55"/>
    </row>
    <row r="328" ht="14.25" customHeight="1">
      <c r="G328" s="55"/>
    </row>
    <row r="329" ht="14.25" customHeight="1">
      <c r="G329" s="55"/>
    </row>
    <row r="330" ht="14.25" customHeight="1">
      <c r="G330" s="55"/>
    </row>
    <row r="331" ht="14.25" customHeight="1">
      <c r="G331" s="55"/>
    </row>
    <row r="332" ht="14.25" customHeight="1">
      <c r="G332" s="55"/>
    </row>
    <row r="333" ht="14.25" customHeight="1">
      <c r="G333" s="55"/>
    </row>
    <row r="334" ht="14.25" customHeight="1">
      <c r="G334" s="55"/>
    </row>
    <row r="335" ht="14.25" customHeight="1">
      <c r="G335" s="55"/>
    </row>
    <row r="336" ht="14.25" customHeight="1">
      <c r="G336" s="55"/>
    </row>
    <row r="337" ht="14.25" customHeight="1">
      <c r="G337" s="55"/>
    </row>
    <row r="338" ht="14.25" customHeight="1">
      <c r="G338" s="55"/>
    </row>
    <row r="339" ht="14.25" customHeight="1">
      <c r="G339" s="55"/>
    </row>
    <row r="340" ht="14.25" customHeight="1">
      <c r="G340" s="55"/>
    </row>
    <row r="341" ht="14.25" customHeight="1">
      <c r="G341" s="55"/>
    </row>
    <row r="342" ht="14.25" customHeight="1">
      <c r="G342" s="55"/>
    </row>
    <row r="343" ht="14.25" customHeight="1">
      <c r="G343" s="55"/>
    </row>
    <row r="344" ht="14.25" customHeight="1">
      <c r="G344" s="55"/>
    </row>
    <row r="345" ht="14.25" customHeight="1">
      <c r="G345" s="55"/>
    </row>
    <row r="346" ht="14.25" customHeight="1">
      <c r="G346" s="55"/>
    </row>
    <row r="347" ht="14.25" customHeight="1">
      <c r="G347" s="55"/>
    </row>
    <row r="348" ht="14.25" customHeight="1">
      <c r="G348" s="55"/>
    </row>
    <row r="349" ht="14.25" customHeight="1">
      <c r="G349" s="55"/>
    </row>
    <row r="350" ht="14.25" customHeight="1">
      <c r="G350" s="55"/>
    </row>
    <row r="351" ht="14.25" customHeight="1">
      <c r="G351" s="55"/>
    </row>
    <row r="352" ht="14.25" customHeight="1">
      <c r="G352" s="55"/>
    </row>
    <row r="353" ht="14.25" customHeight="1">
      <c r="G353" s="55"/>
    </row>
    <row r="354" ht="14.25" customHeight="1">
      <c r="G354" s="55"/>
    </row>
    <row r="355" ht="14.25" customHeight="1">
      <c r="G355" s="55"/>
    </row>
    <row r="356" ht="14.25" customHeight="1">
      <c r="G356" s="55"/>
    </row>
    <row r="357" ht="14.25" customHeight="1">
      <c r="G357" s="55"/>
    </row>
    <row r="358" ht="14.25" customHeight="1">
      <c r="G358" s="55"/>
    </row>
    <row r="359" ht="14.25" customHeight="1">
      <c r="G359" s="55"/>
    </row>
    <row r="360" ht="14.25" customHeight="1">
      <c r="G360" s="55"/>
    </row>
    <row r="361" ht="14.25" customHeight="1">
      <c r="G361" s="55"/>
    </row>
    <row r="362" ht="14.25" customHeight="1">
      <c r="G362" s="55"/>
    </row>
    <row r="363" ht="14.25" customHeight="1">
      <c r="G363" s="55"/>
    </row>
    <row r="364" ht="14.25" customHeight="1">
      <c r="G364" s="55"/>
    </row>
    <row r="365" ht="14.25" customHeight="1">
      <c r="G365" s="55"/>
    </row>
    <row r="366" ht="14.25" customHeight="1">
      <c r="G366" s="55"/>
    </row>
    <row r="367" ht="14.25" customHeight="1">
      <c r="G367" s="55"/>
    </row>
    <row r="368" ht="14.25" customHeight="1">
      <c r="G368" s="55"/>
    </row>
    <row r="369" ht="14.25" customHeight="1">
      <c r="G369" s="55"/>
    </row>
    <row r="370" ht="14.25" customHeight="1">
      <c r="G370" s="55"/>
    </row>
    <row r="371" ht="14.25" customHeight="1">
      <c r="G371" s="55"/>
    </row>
    <row r="372" ht="14.25" customHeight="1">
      <c r="G372" s="55"/>
    </row>
    <row r="373" ht="14.25" customHeight="1">
      <c r="G373" s="55"/>
    </row>
    <row r="374" ht="14.25" customHeight="1">
      <c r="G374" s="55"/>
    </row>
    <row r="375" ht="14.25" customHeight="1">
      <c r="G375" s="55"/>
    </row>
    <row r="376" ht="14.25" customHeight="1">
      <c r="G376" s="55"/>
    </row>
    <row r="377" ht="14.25" customHeight="1">
      <c r="G377" s="55"/>
    </row>
    <row r="378" ht="14.25" customHeight="1">
      <c r="G378" s="55"/>
    </row>
    <row r="379" ht="14.25" customHeight="1">
      <c r="G379" s="55"/>
    </row>
    <row r="380" ht="14.25" customHeight="1">
      <c r="G380" s="55"/>
    </row>
    <row r="381" ht="14.25" customHeight="1">
      <c r="G381" s="55"/>
    </row>
    <row r="382" ht="14.25" customHeight="1">
      <c r="G382" s="55"/>
    </row>
    <row r="383" ht="14.25" customHeight="1">
      <c r="G383" s="55"/>
    </row>
    <row r="384" ht="14.25" customHeight="1">
      <c r="G384" s="55"/>
    </row>
    <row r="385" ht="14.25" customHeight="1">
      <c r="G385" s="55"/>
    </row>
    <row r="386" ht="14.25" customHeight="1">
      <c r="G386" s="55"/>
    </row>
    <row r="387" ht="14.25" customHeight="1">
      <c r="G387" s="55"/>
    </row>
    <row r="388" ht="14.25" customHeight="1">
      <c r="G388" s="55"/>
    </row>
    <row r="389" ht="14.25" customHeight="1">
      <c r="G389" s="55"/>
    </row>
    <row r="390" ht="14.25" customHeight="1">
      <c r="G390" s="55"/>
    </row>
    <row r="391" ht="14.25" customHeight="1">
      <c r="G391" s="55"/>
    </row>
    <row r="392" ht="14.25" customHeight="1">
      <c r="G392" s="55"/>
    </row>
    <row r="393" ht="14.25" customHeight="1">
      <c r="G393" s="55"/>
    </row>
    <row r="394" ht="14.25" customHeight="1">
      <c r="G394" s="55"/>
    </row>
    <row r="395" ht="14.25" customHeight="1">
      <c r="G395" s="55"/>
    </row>
    <row r="396" ht="14.25" customHeight="1">
      <c r="G396" s="55"/>
    </row>
    <row r="397" ht="14.25" customHeight="1">
      <c r="G397" s="55"/>
    </row>
    <row r="398" ht="14.25" customHeight="1">
      <c r="G398" s="55"/>
    </row>
    <row r="399" ht="14.25" customHeight="1">
      <c r="G399" s="55"/>
    </row>
    <row r="400" ht="14.25" customHeight="1">
      <c r="G400" s="55"/>
    </row>
    <row r="401" ht="14.25" customHeight="1">
      <c r="G401" s="55"/>
    </row>
    <row r="402" ht="14.25" customHeight="1">
      <c r="G402" s="55"/>
    </row>
    <row r="403" ht="14.25" customHeight="1">
      <c r="G403" s="55"/>
    </row>
    <row r="404" ht="14.25" customHeight="1">
      <c r="G404" s="55"/>
    </row>
    <row r="405" ht="14.25" customHeight="1">
      <c r="G405" s="55"/>
    </row>
    <row r="406" ht="14.25" customHeight="1">
      <c r="G406" s="55"/>
    </row>
    <row r="407" ht="14.25" customHeight="1">
      <c r="G407" s="55"/>
    </row>
    <row r="408" ht="14.25" customHeight="1">
      <c r="G408" s="55"/>
    </row>
    <row r="409" ht="14.25" customHeight="1">
      <c r="G409" s="55"/>
    </row>
    <row r="410" ht="14.25" customHeight="1">
      <c r="G410" s="55"/>
    </row>
    <row r="411" ht="14.25" customHeight="1">
      <c r="G411" s="55"/>
    </row>
    <row r="412" ht="14.25" customHeight="1">
      <c r="G412" s="55"/>
    </row>
    <row r="413" ht="14.25" customHeight="1">
      <c r="G413" s="55"/>
    </row>
    <row r="414" ht="14.25" customHeight="1">
      <c r="G414" s="55"/>
    </row>
    <row r="415" ht="14.25" customHeight="1">
      <c r="G415" s="55"/>
    </row>
    <row r="416" ht="14.25" customHeight="1">
      <c r="G416" s="55"/>
    </row>
    <row r="417" ht="14.25" customHeight="1">
      <c r="G417" s="55"/>
    </row>
    <row r="418" ht="14.25" customHeight="1">
      <c r="G418" s="55"/>
    </row>
    <row r="419" ht="14.25" customHeight="1">
      <c r="G419" s="55"/>
    </row>
    <row r="420" ht="14.25" customHeight="1">
      <c r="G420" s="55"/>
    </row>
    <row r="421" ht="14.25" customHeight="1">
      <c r="G421" s="55"/>
    </row>
    <row r="422" ht="14.25" customHeight="1">
      <c r="G422" s="55"/>
    </row>
    <row r="423" ht="14.25" customHeight="1">
      <c r="G423" s="55"/>
    </row>
    <row r="424" ht="14.25" customHeight="1">
      <c r="G424" s="55"/>
    </row>
    <row r="425" ht="14.25" customHeight="1">
      <c r="G425" s="55"/>
    </row>
    <row r="426" ht="14.25" customHeight="1">
      <c r="G426" s="55"/>
    </row>
    <row r="427" ht="14.25" customHeight="1">
      <c r="G427" s="55"/>
    </row>
    <row r="428" ht="14.25" customHeight="1">
      <c r="G428" s="55"/>
    </row>
    <row r="429" ht="14.25" customHeight="1">
      <c r="G429" s="55"/>
    </row>
    <row r="430" ht="14.25" customHeight="1">
      <c r="G430" s="55"/>
    </row>
    <row r="431" ht="14.25" customHeight="1">
      <c r="G431" s="55"/>
    </row>
    <row r="432" ht="14.25" customHeight="1">
      <c r="G432" s="55"/>
    </row>
    <row r="433" ht="14.25" customHeight="1">
      <c r="G433" s="55"/>
    </row>
    <row r="434" ht="14.25" customHeight="1">
      <c r="G434" s="55"/>
    </row>
    <row r="435" ht="14.25" customHeight="1">
      <c r="G435" s="55"/>
    </row>
    <row r="436" ht="14.25" customHeight="1">
      <c r="G436" s="55"/>
    </row>
    <row r="437" ht="14.25" customHeight="1">
      <c r="G437" s="55"/>
    </row>
    <row r="438" ht="14.25" customHeight="1">
      <c r="G438" s="55"/>
    </row>
    <row r="439" ht="14.25" customHeight="1">
      <c r="G439" s="55"/>
    </row>
    <row r="440" ht="14.25" customHeight="1">
      <c r="G440" s="55"/>
    </row>
    <row r="441" ht="14.25" customHeight="1">
      <c r="G441" s="55"/>
    </row>
    <row r="442" ht="14.25" customHeight="1">
      <c r="G442" s="55"/>
    </row>
    <row r="443" ht="14.25" customHeight="1">
      <c r="G443" s="55"/>
    </row>
    <row r="444" ht="14.25" customHeight="1">
      <c r="G444" s="55"/>
    </row>
    <row r="445" ht="14.25" customHeight="1">
      <c r="G445" s="55"/>
    </row>
    <row r="446" ht="14.25" customHeight="1">
      <c r="G446" s="55"/>
    </row>
    <row r="447" ht="14.25" customHeight="1">
      <c r="G447" s="55"/>
    </row>
    <row r="448" ht="14.25" customHeight="1">
      <c r="G448" s="55"/>
    </row>
    <row r="449" ht="14.25" customHeight="1">
      <c r="G449" s="55"/>
    </row>
    <row r="450" ht="14.25" customHeight="1">
      <c r="G450" s="55"/>
    </row>
    <row r="451" ht="14.25" customHeight="1">
      <c r="G451" s="55"/>
    </row>
    <row r="452" ht="14.25" customHeight="1">
      <c r="G452" s="55"/>
    </row>
    <row r="453" ht="14.25" customHeight="1">
      <c r="G453" s="55"/>
    </row>
    <row r="454" ht="14.25" customHeight="1">
      <c r="G454" s="55"/>
    </row>
    <row r="455" ht="14.25" customHeight="1">
      <c r="G455" s="55"/>
    </row>
    <row r="456" ht="14.25" customHeight="1">
      <c r="G456" s="55"/>
    </row>
    <row r="457" ht="14.25" customHeight="1">
      <c r="G457" s="55"/>
    </row>
    <row r="458" ht="14.25" customHeight="1">
      <c r="G458" s="55"/>
    </row>
    <row r="459" ht="14.25" customHeight="1">
      <c r="G459" s="55"/>
    </row>
    <row r="460" ht="14.25" customHeight="1">
      <c r="G460" s="55"/>
    </row>
    <row r="461" ht="14.25" customHeight="1">
      <c r="G461" s="55"/>
    </row>
    <row r="462" ht="14.25" customHeight="1">
      <c r="G462" s="55"/>
    </row>
    <row r="463" ht="14.25" customHeight="1">
      <c r="G463" s="55"/>
    </row>
    <row r="464" ht="14.25" customHeight="1">
      <c r="G464" s="55"/>
    </row>
    <row r="465" ht="14.25" customHeight="1">
      <c r="G465" s="55"/>
    </row>
    <row r="466" ht="14.25" customHeight="1">
      <c r="G466" s="55"/>
    </row>
    <row r="467" ht="14.25" customHeight="1">
      <c r="G467" s="55"/>
    </row>
    <row r="468" ht="14.25" customHeight="1">
      <c r="G468" s="55"/>
    </row>
    <row r="469" ht="14.25" customHeight="1">
      <c r="G469" s="55"/>
    </row>
    <row r="470" ht="14.25" customHeight="1">
      <c r="G470" s="55"/>
    </row>
    <row r="471" ht="14.25" customHeight="1">
      <c r="G471" s="55"/>
    </row>
    <row r="472" ht="14.25" customHeight="1">
      <c r="G472" s="55"/>
    </row>
    <row r="473" ht="14.25" customHeight="1">
      <c r="G473" s="55"/>
    </row>
    <row r="474" ht="14.25" customHeight="1">
      <c r="G474" s="55"/>
    </row>
    <row r="475" ht="14.25" customHeight="1">
      <c r="G475" s="55"/>
    </row>
    <row r="476" ht="14.25" customHeight="1">
      <c r="G476" s="55"/>
    </row>
    <row r="477" ht="14.25" customHeight="1">
      <c r="G477" s="55"/>
    </row>
    <row r="478" ht="14.25" customHeight="1">
      <c r="G478" s="55"/>
    </row>
    <row r="479" ht="14.25" customHeight="1">
      <c r="G479" s="55"/>
    </row>
    <row r="480" ht="14.25" customHeight="1">
      <c r="G480" s="55"/>
    </row>
    <row r="481" ht="14.25" customHeight="1">
      <c r="G481" s="55"/>
    </row>
    <row r="482" ht="14.25" customHeight="1">
      <c r="G482" s="55"/>
    </row>
    <row r="483" ht="14.25" customHeight="1">
      <c r="G483" s="55"/>
    </row>
    <row r="484" ht="14.25" customHeight="1">
      <c r="G484" s="55"/>
    </row>
    <row r="485" ht="14.25" customHeight="1">
      <c r="G485" s="55"/>
    </row>
    <row r="486" ht="14.25" customHeight="1">
      <c r="G486" s="55"/>
    </row>
    <row r="487" ht="14.25" customHeight="1">
      <c r="G487" s="55"/>
    </row>
    <row r="488" ht="14.25" customHeight="1">
      <c r="G488" s="55"/>
    </row>
    <row r="489" ht="14.25" customHeight="1">
      <c r="G489" s="55"/>
    </row>
    <row r="490" ht="14.25" customHeight="1">
      <c r="G490" s="55"/>
    </row>
    <row r="491" ht="14.25" customHeight="1">
      <c r="G491" s="55"/>
    </row>
    <row r="492" ht="14.25" customHeight="1">
      <c r="G492" s="55"/>
    </row>
    <row r="493" ht="14.25" customHeight="1">
      <c r="G493" s="55"/>
    </row>
    <row r="494" ht="14.25" customHeight="1">
      <c r="G494" s="55"/>
    </row>
    <row r="495" ht="14.25" customHeight="1">
      <c r="G495" s="55"/>
    </row>
    <row r="496" ht="14.25" customHeight="1">
      <c r="G496" s="55"/>
    </row>
    <row r="497" ht="14.25" customHeight="1">
      <c r="G497" s="55"/>
    </row>
    <row r="498" ht="14.25" customHeight="1">
      <c r="G498" s="55"/>
    </row>
    <row r="499" ht="14.25" customHeight="1">
      <c r="G499" s="55"/>
    </row>
    <row r="500" ht="14.25" customHeight="1">
      <c r="G500" s="55"/>
    </row>
    <row r="501" ht="14.25" customHeight="1">
      <c r="G501" s="55"/>
    </row>
    <row r="502" ht="14.25" customHeight="1">
      <c r="G502" s="55"/>
    </row>
    <row r="503" ht="14.25" customHeight="1">
      <c r="G503" s="55"/>
    </row>
    <row r="504" ht="14.25" customHeight="1">
      <c r="G504" s="55"/>
    </row>
    <row r="505" ht="14.25" customHeight="1">
      <c r="G505" s="55"/>
    </row>
    <row r="506" ht="14.25" customHeight="1">
      <c r="G506" s="55"/>
    </row>
    <row r="507" ht="14.25" customHeight="1">
      <c r="G507" s="55"/>
    </row>
    <row r="508" ht="14.25" customHeight="1">
      <c r="G508" s="55"/>
    </row>
    <row r="509" ht="14.25" customHeight="1">
      <c r="G509" s="55"/>
    </row>
    <row r="510" ht="14.25" customHeight="1">
      <c r="G510" s="55"/>
    </row>
    <row r="511" ht="14.25" customHeight="1">
      <c r="G511" s="55"/>
    </row>
    <row r="512" ht="14.25" customHeight="1">
      <c r="G512" s="55"/>
    </row>
    <row r="513" ht="14.25" customHeight="1">
      <c r="G513" s="55"/>
    </row>
    <row r="514" ht="14.25" customHeight="1">
      <c r="G514" s="55"/>
    </row>
    <row r="515" ht="14.25" customHeight="1">
      <c r="G515" s="55"/>
    </row>
    <row r="516" ht="14.25" customHeight="1">
      <c r="G516" s="55"/>
    </row>
    <row r="517" ht="14.25" customHeight="1">
      <c r="G517" s="55"/>
    </row>
    <row r="518" ht="14.25" customHeight="1">
      <c r="G518" s="55"/>
    </row>
    <row r="519" ht="14.25" customHeight="1">
      <c r="G519" s="55"/>
    </row>
    <row r="520" ht="14.25" customHeight="1">
      <c r="G520" s="55"/>
    </row>
    <row r="521" ht="14.25" customHeight="1">
      <c r="G521" s="55"/>
    </row>
    <row r="522" ht="14.25" customHeight="1">
      <c r="G522" s="55"/>
    </row>
    <row r="523" ht="14.25" customHeight="1">
      <c r="G523" s="55"/>
    </row>
    <row r="524" ht="14.25" customHeight="1">
      <c r="G524" s="55"/>
    </row>
    <row r="525" ht="14.25" customHeight="1">
      <c r="G525" s="55"/>
    </row>
    <row r="526" ht="14.25" customHeight="1">
      <c r="G526" s="55"/>
    </row>
    <row r="527" ht="14.25" customHeight="1">
      <c r="G527" s="55"/>
    </row>
    <row r="528" ht="14.25" customHeight="1">
      <c r="G528" s="55"/>
    </row>
    <row r="529" ht="14.25" customHeight="1">
      <c r="G529" s="55"/>
    </row>
    <row r="530" ht="14.25" customHeight="1">
      <c r="G530" s="55"/>
    </row>
    <row r="531" ht="14.25" customHeight="1">
      <c r="G531" s="55"/>
    </row>
    <row r="532" ht="14.25" customHeight="1">
      <c r="G532" s="55"/>
    </row>
    <row r="533" ht="14.25" customHeight="1">
      <c r="G533" s="55"/>
    </row>
    <row r="534" ht="14.25" customHeight="1">
      <c r="G534" s="55"/>
    </row>
    <row r="535" ht="14.25" customHeight="1">
      <c r="G535" s="55"/>
    </row>
    <row r="536" ht="14.25" customHeight="1">
      <c r="G536" s="55"/>
    </row>
    <row r="537" ht="14.25" customHeight="1">
      <c r="G537" s="55"/>
    </row>
    <row r="538" ht="14.25" customHeight="1">
      <c r="G538" s="55"/>
    </row>
    <row r="539" ht="14.25" customHeight="1">
      <c r="G539" s="55"/>
    </row>
    <row r="540" ht="14.25" customHeight="1">
      <c r="G540" s="55"/>
    </row>
    <row r="541" ht="14.25" customHeight="1">
      <c r="G541" s="55"/>
    </row>
    <row r="542" ht="14.25" customHeight="1">
      <c r="G542" s="55"/>
    </row>
    <row r="543" ht="14.25" customHeight="1">
      <c r="G543" s="55"/>
    </row>
    <row r="544" ht="14.25" customHeight="1">
      <c r="G544" s="55"/>
    </row>
    <row r="545" ht="14.25" customHeight="1">
      <c r="G545" s="55"/>
    </row>
    <row r="546" ht="14.25" customHeight="1">
      <c r="G546" s="55"/>
    </row>
    <row r="547" ht="14.25" customHeight="1">
      <c r="G547" s="55"/>
    </row>
    <row r="548" ht="14.25" customHeight="1">
      <c r="G548" s="55"/>
    </row>
    <row r="549" ht="14.25" customHeight="1">
      <c r="G549" s="55"/>
    </row>
    <row r="550" ht="14.25" customHeight="1">
      <c r="G550" s="55"/>
    </row>
    <row r="551" ht="14.25" customHeight="1">
      <c r="G551" s="55"/>
    </row>
    <row r="552" ht="14.25" customHeight="1">
      <c r="G552" s="55"/>
    </row>
    <row r="553" ht="14.25" customHeight="1">
      <c r="G553" s="55"/>
    </row>
    <row r="554" ht="14.25" customHeight="1">
      <c r="G554" s="55"/>
    </row>
    <row r="555" ht="14.25" customHeight="1">
      <c r="G555" s="55"/>
    </row>
    <row r="556" ht="14.25" customHeight="1">
      <c r="G556" s="55"/>
    </row>
    <row r="557" ht="14.25" customHeight="1">
      <c r="G557" s="55"/>
    </row>
    <row r="558" ht="14.25" customHeight="1">
      <c r="G558" s="55"/>
    </row>
    <row r="559" ht="14.25" customHeight="1">
      <c r="G559" s="55"/>
    </row>
    <row r="560" ht="14.25" customHeight="1">
      <c r="G560" s="55"/>
    </row>
    <row r="561" ht="14.25" customHeight="1">
      <c r="G561" s="55"/>
    </row>
    <row r="562" ht="14.25" customHeight="1">
      <c r="G562" s="55"/>
    </row>
    <row r="563" ht="14.25" customHeight="1">
      <c r="G563" s="55"/>
    </row>
    <row r="564" ht="14.25" customHeight="1">
      <c r="G564" s="55"/>
    </row>
    <row r="565" ht="14.25" customHeight="1">
      <c r="G565" s="55"/>
    </row>
    <row r="566" ht="14.25" customHeight="1">
      <c r="G566" s="55"/>
    </row>
    <row r="567" ht="14.25" customHeight="1">
      <c r="G567" s="55"/>
    </row>
    <row r="568" ht="14.25" customHeight="1">
      <c r="G568" s="55"/>
    </row>
    <row r="569" ht="14.25" customHeight="1">
      <c r="G569" s="55"/>
    </row>
    <row r="570" ht="14.25" customHeight="1">
      <c r="G570" s="55"/>
    </row>
    <row r="571" ht="14.25" customHeight="1">
      <c r="G571" s="55"/>
    </row>
    <row r="572" ht="14.25" customHeight="1">
      <c r="G572" s="55"/>
    </row>
    <row r="573" ht="14.25" customHeight="1">
      <c r="G573" s="55"/>
    </row>
    <row r="574" ht="14.25" customHeight="1">
      <c r="G574" s="55"/>
    </row>
    <row r="575" ht="14.25" customHeight="1">
      <c r="G575" s="55"/>
    </row>
    <row r="576" ht="14.25" customHeight="1">
      <c r="G576" s="55"/>
    </row>
    <row r="577" ht="14.25" customHeight="1">
      <c r="G577" s="55"/>
    </row>
    <row r="578" ht="14.25" customHeight="1">
      <c r="G578" s="55"/>
    </row>
    <row r="579" ht="14.25" customHeight="1">
      <c r="G579" s="55"/>
    </row>
    <row r="580" ht="14.25" customHeight="1">
      <c r="G580" s="55"/>
    </row>
    <row r="581" ht="14.25" customHeight="1">
      <c r="G581" s="55"/>
    </row>
    <row r="582" ht="14.25" customHeight="1">
      <c r="G582" s="55"/>
    </row>
    <row r="583" ht="14.25" customHeight="1">
      <c r="G583" s="55"/>
    </row>
    <row r="584" ht="14.25" customHeight="1">
      <c r="G584" s="55"/>
    </row>
    <row r="585" ht="14.25" customHeight="1">
      <c r="G585" s="55"/>
    </row>
    <row r="586" ht="14.25" customHeight="1">
      <c r="G586" s="55"/>
    </row>
    <row r="587" ht="14.25" customHeight="1">
      <c r="G587" s="55"/>
    </row>
    <row r="588" ht="14.25" customHeight="1">
      <c r="G588" s="55"/>
    </row>
    <row r="589" ht="14.25" customHeight="1">
      <c r="G589" s="55"/>
    </row>
    <row r="590" ht="14.25" customHeight="1">
      <c r="G590" s="55"/>
    </row>
    <row r="591" ht="14.25" customHeight="1">
      <c r="G591" s="55"/>
    </row>
    <row r="592" ht="14.25" customHeight="1">
      <c r="G592" s="55"/>
    </row>
    <row r="593" ht="14.25" customHeight="1">
      <c r="G593" s="55"/>
    </row>
    <row r="594" ht="14.25" customHeight="1">
      <c r="G594" s="55"/>
    </row>
    <row r="595" ht="14.25" customHeight="1">
      <c r="G595" s="55"/>
    </row>
    <row r="596" ht="14.25" customHeight="1">
      <c r="G596" s="55"/>
    </row>
    <row r="597" ht="14.25" customHeight="1">
      <c r="G597" s="55"/>
    </row>
    <row r="598" ht="14.25" customHeight="1">
      <c r="G598" s="55"/>
    </row>
    <row r="599" ht="14.25" customHeight="1">
      <c r="G599" s="55"/>
    </row>
    <row r="600" ht="14.25" customHeight="1">
      <c r="G600" s="55"/>
    </row>
    <row r="601" ht="14.25" customHeight="1">
      <c r="G601" s="55"/>
    </row>
    <row r="602" ht="14.25" customHeight="1">
      <c r="G602" s="55"/>
    </row>
    <row r="603" ht="14.25" customHeight="1">
      <c r="G603" s="55"/>
    </row>
    <row r="604" ht="14.25" customHeight="1">
      <c r="G604" s="55"/>
    </row>
    <row r="605" ht="14.25" customHeight="1">
      <c r="G605" s="55"/>
    </row>
    <row r="606" ht="14.25" customHeight="1">
      <c r="G606" s="55"/>
    </row>
    <row r="607" ht="14.25" customHeight="1">
      <c r="G607" s="55"/>
    </row>
    <row r="608" ht="14.25" customHeight="1">
      <c r="G608" s="55"/>
    </row>
    <row r="609" ht="14.25" customHeight="1">
      <c r="G609" s="55"/>
    </row>
    <row r="610" ht="14.25" customHeight="1">
      <c r="G610" s="55"/>
    </row>
    <row r="611" ht="14.25" customHeight="1">
      <c r="G611" s="55"/>
    </row>
    <row r="612" ht="14.25" customHeight="1">
      <c r="G612" s="55"/>
    </row>
    <row r="613" ht="14.25" customHeight="1">
      <c r="G613" s="55"/>
    </row>
    <row r="614" ht="14.25" customHeight="1">
      <c r="G614" s="55"/>
    </row>
    <row r="615" ht="14.25" customHeight="1">
      <c r="G615" s="55"/>
    </row>
    <row r="616" ht="14.25" customHeight="1">
      <c r="G616" s="55"/>
    </row>
    <row r="617" ht="14.25" customHeight="1">
      <c r="G617" s="55"/>
    </row>
    <row r="618" ht="14.25" customHeight="1">
      <c r="G618" s="55"/>
    </row>
    <row r="619" ht="14.25" customHeight="1">
      <c r="G619" s="55"/>
    </row>
    <row r="620" ht="14.25" customHeight="1">
      <c r="G620" s="55"/>
    </row>
    <row r="621" ht="14.25" customHeight="1">
      <c r="G621" s="55"/>
    </row>
    <row r="622" ht="14.25" customHeight="1">
      <c r="G622" s="55"/>
    </row>
    <row r="623" ht="14.25" customHeight="1">
      <c r="G623" s="55"/>
    </row>
    <row r="624" ht="14.25" customHeight="1">
      <c r="G624" s="55"/>
    </row>
    <row r="625" ht="14.25" customHeight="1">
      <c r="G625" s="55"/>
    </row>
    <row r="626" ht="14.25" customHeight="1">
      <c r="G626" s="55"/>
    </row>
    <row r="627" ht="14.25" customHeight="1">
      <c r="G627" s="55"/>
    </row>
    <row r="628" ht="14.25" customHeight="1">
      <c r="G628" s="55"/>
    </row>
    <row r="629" ht="14.25" customHeight="1">
      <c r="G629" s="55"/>
    </row>
    <row r="630" ht="14.25" customHeight="1">
      <c r="G630" s="55"/>
    </row>
    <row r="631" ht="14.25" customHeight="1">
      <c r="G631" s="55"/>
    </row>
    <row r="632" ht="14.25" customHeight="1">
      <c r="G632" s="55"/>
    </row>
    <row r="633" ht="14.25" customHeight="1">
      <c r="G633" s="55"/>
    </row>
    <row r="634" ht="14.25" customHeight="1">
      <c r="G634" s="55"/>
    </row>
    <row r="635" ht="14.25" customHeight="1">
      <c r="G635" s="55"/>
    </row>
    <row r="636" ht="14.25" customHeight="1">
      <c r="G636" s="55"/>
    </row>
    <row r="637" ht="14.25" customHeight="1">
      <c r="G637" s="55"/>
    </row>
    <row r="638" ht="14.25" customHeight="1">
      <c r="G638" s="55"/>
    </row>
    <row r="639" ht="14.25" customHeight="1">
      <c r="G639" s="55"/>
    </row>
    <row r="640" ht="14.25" customHeight="1">
      <c r="G640" s="55"/>
    </row>
    <row r="641" ht="14.25" customHeight="1">
      <c r="G641" s="55"/>
    </row>
    <row r="642" ht="14.25" customHeight="1">
      <c r="G642" s="55"/>
    </row>
    <row r="643" ht="14.25" customHeight="1">
      <c r="G643" s="55"/>
    </row>
    <row r="644" ht="14.25" customHeight="1">
      <c r="G644" s="55"/>
    </row>
    <row r="645" ht="14.25" customHeight="1">
      <c r="G645" s="55"/>
    </row>
    <row r="646" ht="14.25" customHeight="1">
      <c r="G646" s="55"/>
    </row>
    <row r="647" ht="14.25" customHeight="1">
      <c r="G647" s="55"/>
    </row>
    <row r="648" ht="14.25" customHeight="1">
      <c r="G648" s="55"/>
    </row>
    <row r="649" ht="14.25" customHeight="1">
      <c r="G649" s="55"/>
    </row>
    <row r="650" ht="14.25" customHeight="1">
      <c r="G650" s="55"/>
    </row>
    <row r="651" ht="14.25" customHeight="1">
      <c r="G651" s="55"/>
    </row>
    <row r="652" ht="14.25" customHeight="1">
      <c r="G652" s="55"/>
    </row>
    <row r="653" ht="14.25" customHeight="1">
      <c r="G653" s="55"/>
    </row>
    <row r="654" ht="14.25" customHeight="1">
      <c r="G654" s="55"/>
    </row>
    <row r="655" ht="14.25" customHeight="1">
      <c r="G655" s="55"/>
    </row>
    <row r="656" ht="14.25" customHeight="1">
      <c r="G656" s="55"/>
    </row>
    <row r="657" ht="14.25" customHeight="1">
      <c r="G657" s="55"/>
    </row>
    <row r="658" ht="14.25" customHeight="1">
      <c r="G658" s="55"/>
    </row>
    <row r="659" ht="14.25" customHeight="1">
      <c r="G659" s="55"/>
    </row>
    <row r="660" ht="14.25" customHeight="1">
      <c r="G660" s="55"/>
    </row>
    <row r="661" ht="14.25" customHeight="1">
      <c r="G661" s="55"/>
    </row>
    <row r="662" ht="14.25" customHeight="1">
      <c r="G662" s="55"/>
    </row>
    <row r="663" ht="14.25" customHeight="1">
      <c r="G663" s="55"/>
    </row>
    <row r="664" ht="14.25" customHeight="1">
      <c r="G664" s="55"/>
    </row>
    <row r="665" ht="14.25" customHeight="1">
      <c r="G665" s="55"/>
    </row>
    <row r="666" ht="14.25" customHeight="1">
      <c r="G666" s="55"/>
    </row>
    <row r="667" ht="14.25" customHeight="1">
      <c r="G667" s="55"/>
    </row>
    <row r="668" ht="14.25" customHeight="1">
      <c r="G668" s="55"/>
    </row>
    <row r="669" ht="14.25" customHeight="1">
      <c r="G669" s="55"/>
    </row>
    <row r="670" ht="14.25" customHeight="1">
      <c r="G670" s="55"/>
    </row>
    <row r="671" ht="14.25" customHeight="1">
      <c r="G671" s="55"/>
    </row>
    <row r="672" ht="14.25" customHeight="1">
      <c r="G672" s="55"/>
    </row>
    <row r="673" ht="14.25" customHeight="1">
      <c r="G673" s="55"/>
    </row>
    <row r="674" ht="14.25" customHeight="1">
      <c r="G674" s="55"/>
    </row>
    <row r="675" ht="14.25" customHeight="1">
      <c r="G675" s="55"/>
    </row>
    <row r="676" ht="14.25" customHeight="1">
      <c r="G676" s="55"/>
    </row>
    <row r="677" ht="14.25" customHeight="1">
      <c r="G677" s="55"/>
    </row>
    <row r="678" ht="14.25" customHeight="1">
      <c r="G678" s="55"/>
    </row>
    <row r="679" ht="14.25" customHeight="1">
      <c r="G679" s="55"/>
    </row>
    <row r="680" ht="14.25" customHeight="1">
      <c r="G680" s="55"/>
    </row>
    <row r="681" ht="14.25" customHeight="1">
      <c r="G681" s="55"/>
    </row>
    <row r="682" ht="14.25" customHeight="1">
      <c r="G682" s="55"/>
    </row>
    <row r="683" ht="14.25" customHeight="1">
      <c r="G683" s="55"/>
    </row>
    <row r="684" ht="14.25" customHeight="1">
      <c r="G684" s="55"/>
    </row>
    <row r="685" ht="14.25" customHeight="1">
      <c r="G685" s="55"/>
    </row>
    <row r="686" ht="14.25" customHeight="1">
      <c r="G686" s="55"/>
    </row>
    <row r="687" ht="14.25" customHeight="1">
      <c r="G687" s="55"/>
    </row>
    <row r="688" ht="14.25" customHeight="1">
      <c r="G688" s="55"/>
    </row>
    <row r="689" ht="14.25" customHeight="1">
      <c r="G689" s="55"/>
    </row>
    <row r="690" ht="14.25" customHeight="1">
      <c r="G690" s="55"/>
    </row>
    <row r="691" ht="14.25" customHeight="1">
      <c r="G691" s="55"/>
    </row>
    <row r="692" ht="14.25" customHeight="1">
      <c r="G692" s="55"/>
    </row>
    <row r="693" ht="14.25" customHeight="1">
      <c r="G693" s="55"/>
    </row>
    <row r="694" ht="14.25" customHeight="1">
      <c r="G694" s="55"/>
    </row>
    <row r="695" ht="14.25" customHeight="1">
      <c r="G695" s="55"/>
    </row>
    <row r="696" ht="14.25" customHeight="1">
      <c r="G696" s="55"/>
    </row>
    <row r="697" ht="14.25" customHeight="1">
      <c r="G697" s="55"/>
    </row>
    <row r="698" ht="14.25" customHeight="1">
      <c r="G698" s="55"/>
    </row>
    <row r="699" ht="14.25" customHeight="1">
      <c r="G699" s="55"/>
    </row>
    <row r="700" ht="14.25" customHeight="1">
      <c r="G700" s="55"/>
    </row>
    <row r="701" ht="14.25" customHeight="1">
      <c r="G701" s="55"/>
    </row>
    <row r="702" ht="14.25" customHeight="1">
      <c r="G702" s="55"/>
    </row>
    <row r="703" ht="14.25" customHeight="1">
      <c r="G703" s="55"/>
    </row>
    <row r="704" ht="14.25" customHeight="1">
      <c r="G704" s="55"/>
    </row>
    <row r="705" ht="14.25" customHeight="1">
      <c r="G705" s="55"/>
    </row>
    <row r="706" ht="14.25" customHeight="1">
      <c r="G706" s="55"/>
    </row>
    <row r="707" ht="14.25" customHeight="1">
      <c r="G707" s="55"/>
    </row>
    <row r="708" ht="14.25" customHeight="1">
      <c r="G708" s="55"/>
    </row>
    <row r="709" ht="14.25" customHeight="1">
      <c r="G709" s="55"/>
    </row>
    <row r="710" ht="14.25" customHeight="1">
      <c r="G710" s="55"/>
    </row>
    <row r="711" ht="14.25" customHeight="1">
      <c r="G711" s="55"/>
    </row>
    <row r="712" ht="14.25" customHeight="1">
      <c r="G712" s="55"/>
    </row>
    <row r="713" ht="14.25" customHeight="1">
      <c r="G713" s="55"/>
    </row>
    <row r="714" ht="14.25" customHeight="1">
      <c r="G714" s="55"/>
    </row>
    <row r="715" ht="14.25" customHeight="1">
      <c r="G715" s="55"/>
    </row>
    <row r="716" ht="14.25" customHeight="1">
      <c r="G716" s="55"/>
    </row>
    <row r="717" ht="14.25" customHeight="1">
      <c r="G717" s="55"/>
    </row>
    <row r="718" ht="14.25" customHeight="1">
      <c r="G718" s="55"/>
    </row>
    <row r="719" ht="14.25" customHeight="1">
      <c r="G719" s="55"/>
    </row>
    <row r="720" ht="14.25" customHeight="1">
      <c r="G720" s="55"/>
    </row>
    <row r="721" ht="14.25" customHeight="1">
      <c r="G721" s="55"/>
    </row>
    <row r="722" ht="14.25" customHeight="1">
      <c r="G722" s="55"/>
    </row>
    <row r="723" ht="14.25" customHeight="1">
      <c r="G723" s="55"/>
    </row>
    <row r="724" ht="14.25" customHeight="1">
      <c r="G724" s="55"/>
    </row>
    <row r="725" ht="14.25" customHeight="1">
      <c r="G725" s="55"/>
    </row>
    <row r="726" ht="14.25" customHeight="1">
      <c r="G726" s="55"/>
    </row>
    <row r="727" ht="14.25" customHeight="1">
      <c r="G727" s="55"/>
    </row>
    <row r="728" ht="14.25" customHeight="1">
      <c r="G728" s="55"/>
    </row>
    <row r="729" ht="14.25" customHeight="1">
      <c r="G729" s="55"/>
    </row>
    <row r="730" ht="14.25" customHeight="1">
      <c r="G730" s="55"/>
    </row>
    <row r="731" ht="14.25" customHeight="1">
      <c r="G731" s="55"/>
    </row>
    <row r="732" ht="14.25" customHeight="1">
      <c r="G732" s="55"/>
    </row>
    <row r="733" ht="14.25" customHeight="1">
      <c r="G733" s="55"/>
    </row>
    <row r="734" ht="14.25" customHeight="1">
      <c r="G734" s="55"/>
    </row>
    <row r="735" ht="14.25" customHeight="1">
      <c r="G735" s="55"/>
    </row>
    <row r="736" ht="14.25" customHeight="1">
      <c r="G736" s="55"/>
    </row>
    <row r="737" ht="14.25" customHeight="1">
      <c r="G737" s="55"/>
    </row>
    <row r="738" ht="14.25" customHeight="1">
      <c r="G738" s="55"/>
    </row>
    <row r="739" ht="14.25" customHeight="1">
      <c r="G739" s="55"/>
    </row>
    <row r="740" ht="14.25" customHeight="1">
      <c r="G740" s="55"/>
    </row>
    <row r="741" ht="14.25" customHeight="1">
      <c r="G741" s="55"/>
    </row>
    <row r="742" ht="14.25" customHeight="1">
      <c r="G742" s="55"/>
    </row>
    <row r="743" ht="14.25" customHeight="1">
      <c r="G743" s="55"/>
    </row>
    <row r="744" ht="14.25" customHeight="1">
      <c r="G744" s="55"/>
    </row>
    <row r="745" ht="14.25" customHeight="1">
      <c r="G745" s="55"/>
    </row>
    <row r="746" ht="14.25" customHeight="1">
      <c r="G746" s="55"/>
    </row>
    <row r="747" ht="14.25" customHeight="1">
      <c r="G747" s="55"/>
    </row>
    <row r="748" ht="14.25" customHeight="1">
      <c r="G748" s="55"/>
    </row>
    <row r="749" ht="14.25" customHeight="1">
      <c r="G749" s="55"/>
    </row>
    <row r="750" ht="14.25" customHeight="1">
      <c r="G750" s="55"/>
    </row>
    <row r="751" ht="14.25" customHeight="1">
      <c r="G751" s="55"/>
    </row>
    <row r="752" ht="14.25" customHeight="1">
      <c r="G752" s="55"/>
    </row>
    <row r="753" ht="14.25" customHeight="1">
      <c r="G753" s="55"/>
    </row>
    <row r="754" ht="14.25" customHeight="1">
      <c r="G754" s="55"/>
    </row>
    <row r="755" ht="14.25" customHeight="1">
      <c r="G755" s="55"/>
    </row>
    <row r="756" ht="14.25" customHeight="1">
      <c r="G756" s="55"/>
    </row>
    <row r="757" ht="14.25" customHeight="1">
      <c r="G757" s="55"/>
    </row>
    <row r="758" ht="14.25" customHeight="1">
      <c r="G758" s="55"/>
    </row>
    <row r="759" ht="14.25" customHeight="1">
      <c r="G759" s="55"/>
    </row>
    <row r="760" ht="14.25" customHeight="1">
      <c r="G760" s="55"/>
    </row>
    <row r="761" ht="14.25" customHeight="1">
      <c r="G761" s="55"/>
    </row>
    <row r="762" ht="14.25" customHeight="1">
      <c r="G762" s="55"/>
    </row>
    <row r="763" ht="14.25" customHeight="1">
      <c r="G763" s="55"/>
    </row>
    <row r="764" ht="14.25" customHeight="1">
      <c r="G764" s="55"/>
    </row>
    <row r="765" ht="14.25" customHeight="1">
      <c r="G765" s="55"/>
    </row>
    <row r="766" ht="14.25" customHeight="1">
      <c r="G766" s="55"/>
    </row>
    <row r="767" ht="14.25" customHeight="1">
      <c r="G767" s="55"/>
    </row>
    <row r="768" ht="14.25" customHeight="1">
      <c r="G768" s="55"/>
    </row>
    <row r="769" ht="14.25" customHeight="1">
      <c r="G769" s="55"/>
    </row>
    <row r="770" ht="14.25" customHeight="1">
      <c r="G770" s="55"/>
    </row>
    <row r="771" ht="14.25" customHeight="1">
      <c r="G771" s="55"/>
    </row>
    <row r="772" ht="14.25" customHeight="1">
      <c r="G772" s="55"/>
    </row>
    <row r="773" ht="14.25" customHeight="1">
      <c r="G773" s="55"/>
    </row>
    <row r="774" ht="14.25" customHeight="1">
      <c r="G774" s="55"/>
    </row>
    <row r="775" ht="14.25" customHeight="1">
      <c r="G775" s="55"/>
    </row>
    <row r="776" ht="14.25" customHeight="1">
      <c r="G776" s="55"/>
    </row>
    <row r="777" ht="14.25" customHeight="1">
      <c r="G777" s="55"/>
    </row>
    <row r="778" ht="14.25" customHeight="1">
      <c r="G778" s="55"/>
    </row>
    <row r="779" ht="14.25" customHeight="1">
      <c r="G779" s="55"/>
    </row>
    <row r="780" ht="14.25" customHeight="1">
      <c r="G780" s="55"/>
    </row>
    <row r="781" ht="14.25" customHeight="1">
      <c r="G781" s="55"/>
    </row>
    <row r="782" ht="14.25" customHeight="1">
      <c r="G782" s="55"/>
    </row>
    <row r="783" ht="14.25" customHeight="1">
      <c r="G783" s="55"/>
    </row>
    <row r="784" ht="14.25" customHeight="1">
      <c r="G784" s="55"/>
    </row>
    <row r="785" ht="14.25" customHeight="1">
      <c r="G785" s="55"/>
    </row>
    <row r="786" ht="14.25" customHeight="1">
      <c r="G786" s="55"/>
    </row>
    <row r="787" ht="14.25" customHeight="1">
      <c r="G787" s="55"/>
    </row>
    <row r="788" ht="14.25" customHeight="1">
      <c r="G788" s="55"/>
    </row>
    <row r="789" ht="14.25" customHeight="1">
      <c r="G789" s="55"/>
    </row>
    <row r="790" ht="14.25" customHeight="1">
      <c r="G790" s="55"/>
    </row>
    <row r="791" ht="14.25" customHeight="1">
      <c r="G791" s="55"/>
    </row>
    <row r="792" ht="14.25" customHeight="1">
      <c r="G792" s="55"/>
    </row>
    <row r="793" ht="14.25" customHeight="1">
      <c r="G793" s="55"/>
    </row>
    <row r="794" ht="14.25" customHeight="1">
      <c r="G794" s="55"/>
    </row>
    <row r="795" ht="14.25" customHeight="1">
      <c r="G795" s="55"/>
    </row>
    <row r="796" ht="14.25" customHeight="1">
      <c r="G796" s="55"/>
    </row>
    <row r="797" ht="14.25" customHeight="1">
      <c r="G797" s="55"/>
    </row>
    <row r="798" ht="14.25" customHeight="1">
      <c r="G798" s="55"/>
    </row>
    <row r="799" ht="14.25" customHeight="1">
      <c r="G799" s="55"/>
    </row>
    <row r="800" ht="14.25" customHeight="1">
      <c r="G800" s="55"/>
    </row>
    <row r="801" ht="14.25" customHeight="1">
      <c r="G801" s="55"/>
    </row>
    <row r="802" ht="14.25" customHeight="1">
      <c r="G802" s="55"/>
    </row>
    <row r="803" ht="14.25" customHeight="1">
      <c r="G803" s="55"/>
    </row>
    <row r="804" ht="14.25" customHeight="1">
      <c r="G804" s="55"/>
    </row>
    <row r="805" ht="14.25" customHeight="1">
      <c r="G805" s="55"/>
    </row>
    <row r="806" ht="14.25" customHeight="1">
      <c r="G806" s="55"/>
    </row>
    <row r="807" ht="14.25" customHeight="1">
      <c r="G807" s="55"/>
    </row>
    <row r="808" ht="14.25" customHeight="1">
      <c r="G808" s="55"/>
    </row>
    <row r="809" ht="14.25" customHeight="1">
      <c r="G809" s="55"/>
    </row>
    <row r="810" ht="14.25" customHeight="1">
      <c r="G810" s="55"/>
    </row>
    <row r="811" ht="14.25" customHeight="1">
      <c r="G811" s="55"/>
    </row>
    <row r="812" ht="14.25" customHeight="1">
      <c r="G812" s="55"/>
    </row>
    <row r="813" ht="14.25" customHeight="1">
      <c r="G813" s="55"/>
    </row>
    <row r="814" ht="14.25" customHeight="1">
      <c r="G814" s="55"/>
    </row>
    <row r="815" ht="14.25" customHeight="1">
      <c r="G815" s="55"/>
    </row>
    <row r="816" ht="14.25" customHeight="1">
      <c r="G816" s="55"/>
    </row>
    <row r="817" ht="14.25" customHeight="1">
      <c r="G817" s="55"/>
    </row>
    <row r="818" ht="14.25" customHeight="1">
      <c r="G818" s="55"/>
    </row>
    <row r="819" ht="14.25" customHeight="1">
      <c r="G819" s="55"/>
    </row>
    <row r="820" ht="14.25" customHeight="1">
      <c r="G820" s="55"/>
    </row>
    <row r="821" ht="14.25" customHeight="1">
      <c r="G821" s="55"/>
    </row>
    <row r="822" ht="14.25" customHeight="1">
      <c r="G822" s="55"/>
    </row>
    <row r="823" ht="14.25" customHeight="1">
      <c r="G823" s="55"/>
    </row>
    <row r="824" ht="14.25" customHeight="1">
      <c r="G824" s="55"/>
    </row>
    <row r="825" ht="14.25" customHeight="1">
      <c r="G825" s="55"/>
    </row>
    <row r="826" ht="14.25" customHeight="1">
      <c r="G826" s="55"/>
    </row>
    <row r="827" ht="14.25" customHeight="1">
      <c r="G827" s="55"/>
    </row>
    <row r="828" ht="14.25" customHeight="1">
      <c r="G828" s="55"/>
    </row>
    <row r="829" ht="14.25" customHeight="1">
      <c r="G829" s="55"/>
    </row>
    <row r="830" ht="14.25" customHeight="1">
      <c r="G830" s="55"/>
    </row>
    <row r="831" ht="14.25" customHeight="1">
      <c r="G831" s="55"/>
    </row>
    <row r="832" ht="14.25" customHeight="1">
      <c r="G832" s="55"/>
    </row>
    <row r="833" ht="14.25" customHeight="1">
      <c r="G833" s="55"/>
    </row>
    <row r="834" ht="14.25" customHeight="1">
      <c r="G834" s="55"/>
    </row>
    <row r="835" ht="14.25" customHeight="1">
      <c r="G835" s="55"/>
    </row>
    <row r="836" ht="14.25" customHeight="1">
      <c r="G836" s="55"/>
    </row>
    <row r="837" ht="14.25" customHeight="1">
      <c r="G837" s="55"/>
    </row>
    <row r="838" ht="14.25" customHeight="1">
      <c r="G838" s="55"/>
    </row>
    <row r="839" ht="14.25" customHeight="1">
      <c r="G839" s="55"/>
    </row>
    <row r="840" ht="14.25" customHeight="1">
      <c r="G840" s="55"/>
    </row>
    <row r="841" ht="14.25" customHeight="1">
      <c r="G841" s="55"/>
    </row>
    <row r="842" ht="14.25" customHeight="1">
      <c r="G842" s="55"/>
    </row>
    <row r="843" ht="14.25" customHeight="1">
      <c r="G843" s="55"/>
    </row>
    <row r="844" ht="14.25" customHeight="1">
      <c r="G844" s="55"/>
    </row>
    <row r="845" ht="14.25" customHeight="1">
      <c r="G845" s="55"/>
    </row>
    <row r="846" ht="14.25" customHeight="1">
      <c r="G846" s="55"/>
    </row>
    <row r="847" ht="14.25" customHeight="1">
      <c r="G847" s="55"/>
    </row>
    <row r="848" ht="14.25" customHeight="1">
      <c r="G848" s="55"/>
    </row>
    <row r="849" ht="14.25" customHeight="1">
      <c r="G849" s="55"/>
    </row>
    <row r="850" ht="14.25" customHeight="1">
      <c r="G850" s="55"/>
    </row>
    <row r="851" ht="14.25" customHeight="1">
      <c r="G851" s="55"/>
    </row>
    <row r="852" ht="14.25" customHeight="1">
      <c r="G852" s="55"/>
    </row>
    <row r="853" ht="14.25" customHeight="1">
      <c r="G853" s="55"/>
    </row>
    <row r="854" ht="14.25" customHeight="1">
      <c r="G854" s="55"/>
    </row>
    <row r="855" ht="14.25" customHeight="1">
      <c r="G855" s="55"/>
    </row>
    <row r="856" ht="14.25" customHeight="1">
      <c r="G856" s="55"/>
    </row>
    <row r="857" ht="14.25" customHeight="1">
      <c r="G857" s="55"/>
    </row>
    <row r="858" ht="14.25" customHeight="1">
      <c r="G858" s="55"/>
    </row>
    <row r="859" ht="14.25" customHeight="1">
      <c r="G859" s="55"/>
    </row>
    <row r="860" ht="14.25" customHeight="1">
      <c r="G860" s="55"/>
    </row>
    <row r="861" ht="14.25" customHeight="1">
      <c r="G861" s="55"/>
    </row>
    <row r="862" ht="14.25" customHeight="1">
      <c r="G862" s="55"/>
    </row>
    <row r="863" ht="14.25" customHeight="1">
      <c r="G863" s="55"/>
    </row>
    <row r="864" ht="14.25" customHeight="1">
      <c r="G864" s="55"/>
    </row>
    <row r="865" ht="14.25" customHeight="1">
      <c r="G865" s="55"/>
    </row>
    <row r="866" ht="14.25" customHeight="1">
      <c r="G866" s="55"/>
    </row>
    <row r="867" ht="14.25" customHeight="1">
      <c r="G867" s="55"/>
    </row>
    <row r="868" ht="14.25" customHeight="1">
      <c r="G868" s="55"/>
    </row>
    <row r="869" ht="14.25" customHeight="1">
      <c r="G869" s="55"/>
    </row>
    <row r="870" ht="14.25" customHeight="1">
      <c r="G870" s="55"/>
    </row>
    <row r="871" ht="14.25" customHeight="1">
      <c r="G871" s="55"/>
    </row>
    <row r="872" ht="14.25" customHeight="1">
      <c r="G872" s="55"/>
    </row>
    <row r="873" ht="14.25" customHeight="1">
      <c r="G873" s="55"/>
    </row>
    <row r="874" ht="14.25" customHeight="1">
      <c r="G874" s="55"/>
    </row>
    <row r="875" ht="14.25" customHeight="1">
      <c r="G875" s="55"/>
    </row>
    <row r="876" ht="14.25" customHeight="1">
      <c r="G876" s="55"/>
    </row>
    <row r="877" ht="14.25" customHeight="1">
      <c r="G877" s="55"/>
    </row>
    <row r="878" ht="14.25" customHeight="1">
      <c r="G878" s="55"/>
    </row>
    <row r="879" ht="14.25" customHeight="1">
      <c r="G879" s="55"/>
    </row>
    <row r="880" ht="14.25" customHeight="1">
      <c r="G880" s="55"/>
    </row>
    <row r="881" ht="14.25" customHeight="1">
      <c r="G881" s="55"/>
    </row>
    <row r="882" ht="14.25" customHeight="1">
      <c r="G882" s="55"/>
    </row>
    <row r="883" ht="14.25" customHeight="1">
      <c r="G883" s="55"/>
    </row>
    <row r="884" ht="14.25" customHeight="1">
      <c r="G884" s="55"/>
    </row>
    <row r="885" ht="14.25" customHeight="1">
      <c r="G885" s="55"/>
    </row>
    <row r="886" ht="14.25" customHeight="1">
      <c r="G886" s="55"/>
    </row>
    <row r="887" ht="14.25" customHeight="1">
      <c r="G887" s="55"/>
    </row>
    <row r="888" ht="14.25" customHeight="1">
      <c r="G888" s="55"/>
    </row>
    <row r="889" ht="14.25" customHeight="1">
      <c r="G889" s="55"/>
    </row>
    <row r="890" ht="14.25" customHeight="1">
      <c r="G890" s="55"/>
    </row>
    <row r="891" ht="14.25" customHeight="1">
      <c r="G891" s="55"/>
    </row>
    <row r="892" ht="14.25" customHeight="1">
      <c r="G892" s="55"/>
    </row>
    <row r="893" ht="14.25" customHeight="1">
      <c r="G893" s="55"/>
    </row>
    <row r="894" ht="14.25" customHeight="1">
      <c r="G894" s="55"/>
    </row>
    <row r="895" ht="14.25" customHeight="1">
      <c r="G895" s="55"/>
    </row>
    <row r="896" ht="14.25" customHeight="1">
      <c r="G896" s="55"/>
    </row>
    <row r="897" ht="14.25" customHeight="1">
      <c r="G897" s="55"/>
    </row>
    <row r="898" ht="14.25" customHeight="1">
      <c r="G898" s="55"/>
    </row>
    <row r="899" ht="14.25" customHeight="1">
      <c r="G899" s="55"/>
    </row>
    <row r="900" ht="14.25" customHeight="1">
      <c r="G900" s="55"/>
    </row>
    <row r="901" ht="14.25" customHeight="1">
      <c r="G901" s="55"/>
    </row>
    <row r="902" ht="14.25" customHeight="1">
      <c r="G902" s="55"/>
    </row>
    <row r="903" ht="14.25" customHeight="1">
      <c r="G903" s="55"/>
    </row>
    <row r="904" ht="14.25" customHeight="1">
      <c r="G904" s="55"/>
    </row>
    <row r="905" ht="14.25" customHeight="1">
      <c r="G905" s="55"/>
    </row>
    <row r="906" ht="14.25" customHeight="1">
      <c r="G906" s="55"/>
    </row>
  </sheetData>
  <mergeCells count="5">
    <mergeCell ref="F8:G8"/>
    <mergeCell ref="F10:G10"/>
    <mergeCell ref="B12:B15"/>
    <mergeCell ref="B18:B21"/>
    <mergeCell ref="B23:B24"/>
  </mergeCells>
  <conditionalFormatting sqref="C1">
    <cfRule type="notContainsBlanks" dxfId="8" priority="1">
      <formula>LEN(TRIM(C1))&gt;0</formula>
    </cfRule>
  </conditionalFormatting>
  <dataValidations>
    <dataValidation type="list" allowBlank="1" sqref="C40">
      <formula1>"Gross Margin,Net Margin"</formula1>
    </dataValidation>
    <dataValidation type="list" allowBlank="1" sqref="C3">
      <formula1>"Nómina,Prestación de Servicios,Deel/Ontop"</formula1>
    </dataValidation>
    <dataValidation type="list" allowBlank="1" showErrorMessage="1" sqref="C5">
      <formula1>"Cold Calling,Mercadeo,Directo,Network - Cold Calling,Referido Imagine"</formula1>
    </dataValidation>
    <dataValidation type="list" allowBlank="1" showErrorMessage="1" sqref="D27:D36">
      <formula1>"Nómina,P. Servicios"</formula1>
    </dataValidation>
    <dataValidation type="list" allowBlank="1" sqref="B27:B36">
      <formula1>'Parámetros'!$A$2:$A$113</formula1>
    </dataValidation>
    <dataValidation type="list" allowBlank="1" sqref="C2">
      <formula1>'Parámetros'!$A$118:$A$123</formula1>
    </dataValidation>
    <dataValidation type="list" allowBlank="1" sqref="C6">
      <formula1>"Perfil Sr.,Perfil Semi senior,Perfil Jr."</formula1>
    </dataValidation>
    <dataValidation type="list" allowBlank="1" sqref="D40">
      <formula1>"COP,USD"</formula1>
    </dataValidation>
  </dataValidations>
  <printOptions/>
  <pageMargins bottom="0.75" footer="0.0" header="0.0" left="0.7" right="0.7" top="0.75"/>
  <pageSetup orientation="portrait"/>
  <drawing r:id="rId1"/>
  <tableParts count="3"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4.14"/>
    <col customWidth="1" min="2" max="2" width="38.43"/>
    <col customWidth="1" min="3" max="3" width="23.14"/>
    <col customWidth="1" min="4" max="4" width="16.29"/>
    <col customWidth="1" min="5" max="5" width="14.86"/>
    <col customWidth="1" min="6" max="6" width="18.0"/>
    <col customWidth="1" min="7" max="7" width="16.29"/>
    <col customWidth="1" min="8" max="8" width="16.14"/>
    <col customWidth="1" min="9" max="9" width="12.0"/>
    <col customWidth="1" min="10" max="10" width="26.57"/>
    <col customWidth="1" min="11" max="11" width="14.86"/>
    <col customWidth="1" min="12" max="12" width="14.71"/>
    <col customWidth="1" min="13" max="13" width="17.29"/>
    <col customWidth="1" min="14" max="14" width="15.57"/>
    <col customWidth="1" min="15" max="15" width="10.71"/>
    <col customWidth="1" min="16" max="16" width="23.14"/>
    <col customWidth="1" min="17" max="17" width="17.57"/>
    <col customWidth="1" min="18" max="18" width="15.71"/>
    <col customWidth="1" min="19" max="19" width="18.86"/>
    <col customWidth="1" hidden="1" min="20" max="20" width="13.71"/>
    <col customWidth="1" hidden="1" min="21" max="21" width="13.43"/>
    <col customWidth="1" hidden="1" min="22" max="32" width="10.71"/>
  </cols>
  <sheetData>
    <row r="1" ht="8.25" customHeight="1">
      <c r="A1" s="200"/>
      <c r="B1" s="200"/>
      <c r="C1" s="200"/>
      <c r="D1" s="200"/>
      <c r="E1" s="200"/>
      <c r="F1" s="200"/>
      <c r="G1" s="201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</row>
    <row r="2" ht="15.75" customHeight="1">
      <c r="A2" s="200"/>
      <c r="B2" s="202" t="s">
        <v>150</v>
      </c>
      <c r="C2" s="203" t="s">
        <v>94</v>
      </c>
      <c r="D2" s="204"/>
      <c r="E2" s="200"/>
      <c r="F2" s="200"/>
      <c r="G2" s="205"/>
      <c r="H2" s="206"/>
      <c r="I2" s="206"/>
      <c r="J2" s="207"/>
      <c r="K2" s="206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0"/>
      <c r="AD2" s="200"/>
      <c r="AE2" s="200"/>
      <c r="AF2" s="200"/>
    </row>
    <row r="3" ht="15.75" customHeight="1">
      <c r="A3" s="200"/>
      <c r="B3" s="202" t="s">
        <v>25</v>
      </c>
      <c r="C3" s="208" t="s">
        <v>151</v>
      </c>
      <c r="D3" s="16"/>
      <c r="E3" s="200"/>
      <c r="F3" s="209"/>
      <c r="G3" s="210"/>
      <c r="H3" s="200"/>
      <c r="I3" s="200"/>
      <c r="J3" s="211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200"/>
    </row>
    <row r="4" ht="15.75" customHeight="1">
      <c r="A4" s="200"/>
      <c r="B4" s="202" t="s">
        <v>152</v>
      </c>
      <c r="C4" s="212">
        <v>0.05</v>
      </c>
      <c r="D4" s="16"/>
      <c r="E4" s="200"/>
      <c r="H4" s="200"/>
      <c r="I4" s="200"/>
      <c r="J4" s="211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</row>
    <row r="5" ht="15.75" customHeight="1">
      <c r="A5" s="200"/>
      <c r="B5" s="213" t="s">
        <v>153</v>
      </c>
      <c r="C5" s="214" t="s">
        <v>134</v>
      </c>
      <c r="D5" s="16"/>
      <c r="F5" s="90"/>
      <c r="G5" s="215"/>
      <c r="I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</row>
    <row r="6" ht="15.75" customHeight="1">
      <c r="A6" s="200"/>
      <c r="B6" s="202" t="s">
        <v>154</v>
      </c>
      <c r="C6" s="214" t="s">
        <v>148</v>
      </c>
      <c r="D6" s="216"/>
      <c r="F6" s="217"/>
      <c r="G6" s="215"/>
      <c r="I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0"/>
      <c r="AA6" s="200"/>
      <c r="AB6" s="200"/>
      <c r="AC6" s="200"/>
      <c r="AD6" s="200"/>
      <c r="AE6" s="200"/>
      <c r="AF6" s="200"/>
    </row>
    <row r="7" ht="15.75" customHeight="1">
      <c r="A7" s="200"/>
      <c r="B7" s="202" t="s">
        <v>28</v>
      </c>
      <c r="C7" s="218">
        <v>0.0</v>
      </c>
      <c r="D7" s="216"/>
      <c r="F7" s="219" t="s">
        <v>155</v>
      </c>
      <c r="G7" s="220">
        <f>VLOOKUP($C$2,'Parámetros'!$A$118:$D$124,3,0)</f>
        <v>0.4</v>
      </c>
      <c r="I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  <c r="AA7" s="200"/>
      <c r="AB7" s="200"/>
      <c r="AC7" s="200"/>
      <c r="AD7" s="200"/>
      <c r="AE7" s="200"/>
      <c r="AF7" s="200"/>
    </row>
    <row r="8" ht="15.75" customHeight="1">
      <c r="A8" s="200"/>
      <c r="B8" s="202" t="s">
        <v>156</v>
      </c>
      <c r="C8" s="218">
        <v>0.0</v>
      </c>
      <c r="D8" s="204"/>
      <c r="F8" s="221" t="str">
        <f>IF(D13&gt;=G7,"Dentro del margen","¡Por debajo del margen!")</f>
        <v>¡Por debajo del margen!</v>
      </c>
      <c r="I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</row>
    <row r="9" ht="15.75" customHeight="1">
      <c r="A9" s="200"/>
      <c r="B9" s="202" t="s">
        <v>157</v>
      </c>
      <c r="C9" s="222"/>
      <c r="D9" s="204"/>
      <c r="E9" s="200"/>
      <c r="H9" s="200"/>
      <c r="I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200"/>
      <c r="AC9" s="200"/>
      <c r="AD9" s="200"/>
      <c r="AE9" s="200"/>
      <c r="AF9" s="200"/>
    </row>
    <row r="10" ht="15.75" customHeight="1">
      <c r="A10" s="200"/>
      <c r="B10" s="202" t="s">
        <v>158</v>
      </c>
      <c r="C10" s="208">
        <v>4.0</v>
      </c>
      <c r="D10" s="16"/>
      <c r="E10" s="200"/>
      <c r="H10" s="201"/>
      <c r="I10" s="223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</row>
    <row r="11" ht="15.75" customHeight="1">
      <c r="A11" s="200"/>
      <c r="B11" s="224"/>
      <c r="C11" s="16"/>
      <c r="D11" s="16"/>
      <c r="E11" s="200"/>
      <c r="F11" s="202" t="s">
        <v>44</v>
      </c>
      <c r="G11" s="225" t="s">
        <v>45</v>
      </c>
      <c r="H11" s="223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</row>
    <row r="12" ht="18.75" customHeight="1">
      <c r="B12" s="226" t="s">
        <v>7</v>
      </c>
      <c r="C12" s="17" t="s">
        <v>6</v>
      </c>
      <c r="D12" s="227">
        <f>F12*C4+IFS(C5="Cold Calling",2%*138.3522%,C5="Mercadeo",2%*101%,C5="Network - Cold Calling",2%*138.3522%,C5="Referido Imagine",5%*138.3522%,C5="Directo",0)*F12+ifs(AND(C6="Perfil Jr.",C2="Network"),200000,AND(C6="Perfil Sr.",C2="Network"),350000,AND(C2="Network",C6="Perfil Semi Senior"), 600000,C2="Proyecto",1,C2="Equipo dedicado",1,C2="Servidores",1,C2="Enterprise",1,C2="Descubrimiento",1)</f>
        <v>4032259.065</v>
      </c>
      <c r="E12" s="228" t="s">
        <v>159</v>
      </c>
      <c r="F12" s="229">
        <f>((C61+C57+C59)/((1-D13-'Parámetros'!L8*C7)))*IF(C8=1,102.4%,1)</f>
        <v>80645161.29</v>
      </c>
      <c r="G12" s="230">
        <f>F12/'Parámetros'!$L$3</f>
        <v>22716.94684</v>
      </c>
      <c r="H12" s="211"/>
      <c r="I12" s="15">
        <v>160.0</v>
      </c>
      <c r="J12" s="15">
        <v>1.0</v>
      </c>
      <c r="M12" s="23"/>
      <c r="N12" s="24"/>
      <c r="O12" s="24"/>
    </row>
    <row r="13" ht="18.75" customHeight="1">
      <c r="B13" s="27"/>
      <c r="C13" s="17" t="s">
        <v>9</v>
      </c>
      <c r="D13" s="231">
        <v>0.38</v>
      </c>
      <c r="E13" s="228" t="s">
        <v>160</v>
      </c>
      <c r="F13" s="229">
        <f>F12/C10</f>
        <v>20161290.32</v>
      </c>
      <c r="G13" s="230">
        <f>F13/'Parámetros'!$L$3</f>
        <v>5679.236711</v>
      </c>
      <c r="I13" s="15">
        <v>12.0</v>
      </c>
      <c r="J13" s="232">
        <f>I13*J12/I12</f>
        <v>0.075</v>
      </c>
      <c r="M13" s="23"/>
      <c r="N13" s="24"/>
      <c r="O13" s="24"/>
    </row>
    <row r="14" ht="18.75" customHeight="1">
      <c r="B14" s="27"/>
      <c r="C14" s="17" t="s">
        <v>15</v>
      </c>
      <c r="D14" s="227">
        <f>F12*'Parámetros'!L5</f>
        <v>556451.6129</v>
      </c>
      <c r="E14" s="228" t="s">
        <v>161</v>
      </c>
      <c r="F14" s="229">
        <f>F12/SUM(D43:D52)/C10</f>
        <v>62226.2047</v>
      </c>
      <c r="G14" s="230">
        <f>G12/SUM(D43:D52)/C10</f>
        <v>17.52850837</v>
      </c>
      <c r="L14" s="22"/>
      <c r="O14" s="28"/>
      <c r="P14" s="28"/>
      <c r="Q14" s="28"/>
    </row>
    <row r="15" ht="14.25" customHeight="1">
      <c r="B15" s="43"/>
      <c r="C15" s="17" t="s">
        <v>18</v>
      </c>
      <c r="D15" s="233">
        <f>(F12-C62-D14-D12-C7*'Parámetros'!L8*F12-IF(C8=1,2.4%,0)*F12)/F12</f>
        <v>0.1087889387</v>
      </c>
      <c r="F15" s="23"/>
      <c r="G15" s="55"/>
      <c r="I15" s="15" t="s">
        <v>162</v>
      </c>
      <c r="J15" s="234">
        <v>3127889.861152942</v>
      </c>
      <c r="L15" s="32"/>
      <c r="M15" s="33"/>
      <c r="O15" s="28"/>
      <c r="P15" s="28"/>
      <c r="Q15" s="28"/>
    </row>
    <row r="16" ht="14.25" customHeight="1">
      <c r="D16" s="235"/>
      <c r="F16" s="236"/>
      <c r="G16" s="55"/>
      <c r="H16" s="237"/>
      <c r="I16" s="238" t="s">
        <v>163</v>
      </c>
      <c r="J16" s="239">
        <v>5044796.574575055</v>
      </c>
      <c r="L16" s="32"/>
      <c r="M16" s="37"/>
      <c r="N16" s="38"/>
      <c r="O16" s="39"/>
    </row>
    <row r="17" ht="14.25" customHeight="1" collapsed="1">
      <c r="F17" s="236"/>
      <c r="G17" s="55"/>
      <c r="L17" s="22"/>
    </row>
    <row r="18" ht="15.75" hidden="1" customHeight="1" outlineLevel="1">
      <c r="B18" s="226" t="s">
        <v>22</v>
      </c>
      <c r="C18" s="17" t="s">
        <v>6</v>
      </c>
      <c r="D18" s="227">
        <f>F18*C4+IFS(C5="Cold Calling",2%*138.3522%,C5="Mercadeo",2%*101%,C5="Network - Cold Calling",2%*138.3522%,C5="Referido Imagine",5%*138.3522%,C5="Directo",0)*F18</f>
        <v>4527193.453</v>
      </c>
      <c r="E18" s="228" t="s">
        <v>159</v>
      </c>
      <c r="F18" s="229">
        <f>+C62/((1-IFS(C5="Cold Calling",2%*138.3522%,C5="Mercadeo",2%*101%,C5="Network - Cold Calling",2%*138.3522%,C5="Referido Imagine",5%*138.3522%,C5="Directo",0)-C4-D19-'Parámetros'!L5-C7*'Parámetros'!L8))*IF(C8=1,102.4%,1)</f>
        <v>90543869.07</v>
      </c>
      <c r="G18" s="230">
        <f>F18/'Parámetros'!L3</f>
        <v>25505.31523</v>
      </c>
      <c r="L18" s="22"/>
    </row>
    <row r="19" ht="16.5" hidden="1" customHeight="1" outlineLevel="1">
      <c r="B19" s="27"/>
      <c r="C19" s="17" t="s">
        <v>18</v>
      </c>
      <c r="D19" s="231">
        <v>0.2</v>
      </c>
      <c r="E19" s="228" t="s">
        <v>160</v>
      </c>
      <c r="F19" s="229">
        <f>F18/C10</f>
        <v>22635967.27</v>
      </c>
      <c r="G19" s="230">
        <f>G18/C10</f>
        <v>6376.328808</v>
      </c>
      <c r="L19" s="32"/>
      <c r="M19" s="33"/>
    </row>
    <row r="20" ht="17.25" hidden="1" customHeight="1" outlineLevel="1">
      <c r="B20" s="27"/>
      <c r="C20" s="17" t="s">
        <v>15</v>
      </c>
      <c r="D20" s="227">
        <f>F18*'Parámetros'!L5</f>
        <v>624752.6966</v>
      </c>
      <c r="E20" s="228" t="s">
        <v>161</v>
      </c>
      <c r="F20" s="229">
        <f>F18/SUM(D43:D52)/C10</f>
        <v>69864.0965</v>
      </c>
      <c r="G20" s="230">
        <f>G18/SUM(D43:D52)/C10</f>
        <v>19.68002718</v>
      </c>
      <c r="L20" s="22"/>
      <c r="M20" s="55"/>
    </row>
    <row r="21" ht="14.25" hidden="1" customHeight="1" outlineLevel="1">
      <c r="B21" s="43"/>
      <c r="C21" s="17" t="s">
        <v>9</v>
      </c>
      <c r="D21" s="240">
        <f>(((F18-C57-C59-C61-C7*'Parámetros'!L8*F18)-IF(C8=1,2.4%,0)*F18)/F18)</f>
        <v>0.4477814952</v>
      </c>
      <c r="E21" s="241"/>
      <c r="G21" s="55"/>
    </row>
    <row r="22" ht="14.25" customHeight="1">
      <c r="D22" s="55"/>
      <c r="E22" s="23"/>
      <c r="F22" s="242"/>
      <c r="G22" s="55"/>
    </row>
    <row r="23" ht="14.25" customHeight="1">
      <c r="B23" s="243" t="str">
        <f>'Parámetros'!B149</f>
        <v>Considerar como mínimo por cada Dev: 
 PM:33%, QA:20%, Diseño:10%</v>
      </c>
      <c r="C23" s="244"/>
      <c r="G23" s="55"/>
      <c r="M23" s="245"/>
    </row>
    <row r="24" ht="15.75" customHeight="1">
      <c r="B24" s="246"/>
      <c r="C24" s="244"/>
      <c r="G24" s="55"/>
    </row>
    <row r="25" ht="15.75" customHeight="1">
      <c r="E25" s="247">
        <f>SUM(E27:E34)</f>
        <v>1.8</v>
      </c>
      <c r="G25" s="248"/>
    </row>
    <row r="26" ht="14.25" customHeight="1">
      <c r="B26" s="249" t="s">
        <v>31</v>
      </c>
      <c r="C26" s="249" t="s">
        <v>32</v>
      </c>
      <c r="D26" s="249" t="s">
        <v>33</v>
      </c>
      <c r="E26" s="250" t="s">
        <v>35</v>
      </c>
      <c r="F26" s="250" t="s">
        <v>164</v>
      </c>
      <c r="G26" s="250" t="s">
        <v>165</v>
      </c>
      <c r="H26" s="250" t="s">
        <v>37</v>
      </c>
      <c r="I26" s="146"/>
      <c r="J26" s="146"/>
      <c r="L26" s="67"/>
    </row>
    <row r="27" ht="14.25" customHeight="1">
      <c r="A27" s="251">
        <f>IFERROR(__xludf.DUMMYFUNCTION("COUNTIF(SPLIT(B27,"" ""),""Developer"")"),0.0)</f>
        <v>0</v>
      </c>
      <c r="B27" s="252" t="s">
        <v>64</v>
      </c>
      <c r="C27" s="68">
        <f>IFERROR(VLOOKUP(B27,'Parámetros'!A$1:B113,2, FALSE),"")</f>
        <v>5000000</v>
      </c>
      <c r="D27" s="208" t="s">
        <v>166</v>
      </c>
      <c r="E27" s="253">
        <v>0.5</v>
      </c>
      <c r="F27" s="68">
        <f t="shared" ref="F27:F29" si="1">+IFERROR(IF(D27="Nómina",C27*1.38352,C27),"")*E27</f>
        <v>2500000</v>
      </c>
      <c r="G27" s="68">
        <f t="shared" ref="G27:G30" si="2">F27*C$10</f>
        <v>10000000</v>
      </c>
      <c r="H27" s="254">
        <f>F27/(AVERAGE('Parámetros'!$F$5:$F$6)+$F$37)</f>
        <v>0.007215907767</v>
      </c>
      <c r="I27" s="146"/>
      <c r="J27" s="146"/>
      <c r="L27" s="73"/>
    </row>
    <row r="28" ht="14.25" customHeight="1">
      <c r="A28" s="251">
        <f>IFERROR(__xludf.DUMMYFUNCTION("COUNTIF(SPLIT(B28,"" ""),""Developer"")"),0.0)</f>
        <v>0</v>
      </c>
      <c r="B28" s="255" t="s">
        <v>59</v>
      </c>
      <c r="C28" s="68">
        <f>IFERROR(VLOOKUP(B28,'Parámetros'!A$1:B114,2, FALSE),"")</f>
        <v>7000000</v>
      </c>
      <c r="D28" s="208" t="s">
        <v>166</v>
      </c>
      <c r="E28" s="256">
        <v>1.0</v>
      </c>
      <c r="F28" s="68">
        <f t="shared" si="1"/>
        <v>7000000</v>
      </c>
      <c r="G28" s="68">
        <f t="shared" si="2"/>
        <v>28000000</v>
      </c>
      <c r="H28" s="254">
        <f>G28/(AVERAGE('Parámetros'!$F$5:$F$6)+$F$37)</f>
        <v>0.08081816699</v>
      </c>
      <c r="I28" s="146"/>
      <c r="J28" s="146"/>
      <c r="L28" s="73"/>
      <c r="R28" s="74"/>
    </row>
    <row r="29" ht="14.25" customHeight="1">
      <c r="A29" s="251">
        <f>IFERROR(__xludf.DUMMYFUNCTION("COUNTIF(SPLIT(B29,"" ""),""Developer"")"),0.0)</f>
        <v>0</v>
      </c>
      <c r="B29" s="255" t="s">
        <v>69</v>
      </c>
      <c r="C29" s="68">
        <f>IFERROR(VLOOKUP(B29,'Parámetros'!A$1:B115,2, FALSE),"")</f>
        <v>10000000</v>
      </c>
      <c r="D29" s="208" t="s">
        <v>166</v>
      </c>
      <c r="E29" s="256">
        <v>0.3</v>
      </c>
      <c r="F29" s="68">
        <f t="shared" si="1"/>
        <v>3000000</v>
      </c>
      <c r="G29" s="68">
        <f t="shared" si="2"/>
        <v>12000000</v>
      </c>
      <c r="H29" s="254">
        <f>G29/(AVERAGE('Parámetros'!$F$5:$F$6)+$F$37)</f>
        <v>0.03463635728</v>
      </c>
      <c r="I29" s="146"/>
      <c r="J29" s="146"/>
      <c r="L29" s="73"/>
    </row>
    <row r="30" ht="14.25" customHeight="1">
      <c r="A30" s="251">
        <f>IFERROR(__xludf.DUMMYFUNCTION("COUNTIF(SPLIT(B30,"" ""),""Developer"")"),0.0)</f>
        <v>0</v>
      </c>
      <c r="B30" s="255"/>
      <c r="C30" s="68" t="str">
        <f>IFERROR(VLOOKUP(B30,'Parámetros'!A$1:B116,2, FALSE),"")</f>
        <v/>
      </c>
      <c r="D30" s="208"/>
      <c r="E30" s="257"/>
      <c r="F30" s="68">
        <f>+IFERROR(IF(D30="Nómina",C30*1.38352,C30),"")*E30*105%</f>
        <v>0</v>
      </c>
      <c r="G30" s="68">
        <f t="shared" si="2"/>
        <v>0</v>
      </c>
      <c r="H30" s="254">
        <f>G30/(AVERAGE('Parámetros'!$F$5:$F$6)+$F$37)</f>
        <v>0</v>
      </c>
      <c r="I30" s="146"/>
      <c r="J30" s="146"/>
      <c r="L30" s="73"/>
    </row>
    <row r="31" ht="14.25" customHeight="1">
      <c r="A31" s="251">
        <f>IFERROR(__xludf.DUMMYFUNCTION("COUNTIF(SPLIT(B31,"" ""),""Developer"")"),0.0)</f>
        <v>0</v>
      </c>
      <c r="B31" s="252"/>
      <c r="C31" s="68"/>
      <c r="D31" s="208"/>
      <c r="E31" s="253"/>
      <c r="F31" s="68"/>
      <c r="G31" s="68"/>
      <c r="H31" s="254"/>
      <c r="I31" s="146"/>
      <c r="J31" s="146"/>
      <c r="L31" s="73"/>
    </row>
    <row r="32" ht="14.25" customHeight="1">
      <c r="A32" s="251">
        <f>IFERROR(__xludf.DUMMYFUNCTION("COUNTIF(SPLIT(B32,"" ""),""Developer"")"),0.0)</f>
        <v>0</v>
      </c>
      <c r="B32" s="255"/>
      <c r="C32" s="68"/>
      <c r="D32" s="208"/>
      <c r="E32" s="256"/>
      <c r="F32" s="68">
        <f t="shared" ref="F32:F36" si="3">+IFERROR(IF(D32="Nómina",C32*1.38352,C32),"")*E32*105%</f>
        <v>0</v>
      </c>
      <c r="G32" s="68">
        <f t="shared" ref="G32:G36" si="4">F32*C$10</f>
        <v>0</v>
      </c>
      <c r="H32" s="254">
        <f>G32/(AVERAGE('Parámetros'!$F$5:$F$6)+$F$37)</f>
        <v>0</v>
      </c>
      <c r="I32" s="146"/>
      <c r="J32" s="146"/>
      <c r="K32" s="146"/>
    </row>
    <row r="33" ht="14.25" customHeight="1">
      <c r="A33" s="251">
        <f>IFERROR(__xludf.DUMMYFUNCTION("COUNTIF(SPLIT(B33,"" ""),""Developer"")"),0.0)</f>
        <v>0</v>
      </c>
      <c r="B33" s="255"/>
      <c r="C33" s="68"/>
      <c r="D33" s="208"/>
      <c r="E33" s="258"/>
      <c r="F33" s="68">
        <f t="shared" si="3"/>
        <v>0</v>
      </c>
      <c r="G33" s="68">
        <f t="shared" si="4"/>
        <v>0</v>
      </c>
      <c r="H33" s="254">
        <f>G33/(AVERAGE('Parámetros'!$F$5:$F$6)+$F$37)</f>
        <v>0</v>
      </c>
      <c r="I33" s="146"/>
      <c r="J33" s="146"/>
      <c r="K33" s="146"/>
    </row>
    <row r="34" ht="14.25" customHeight="1">
      <c r="A34" s="251">
        <f>IFERROR(__xludf.DUMMYFUNCTION("COUNTIF(SPLIT(B34,"" ""),""Developer"")"),0.0)</f>
        <v>0</v>
      </c>
      <c r="B34" s="255"/>
      <c r="C34" s="68" t="str">
        <f>IFERROR(VLOOKUP(B34,'Parámetros'!A$1:B120,2, FALSE),"")</f>
        <v/>
      </c>
      <c r="D34" s="208"/>
      <c r="E34" s="258"/>
      <c r="F34" s="68">
        <f t="shared" si="3"/>
        <v>0</v>
      </c>
      <c r="G34" s="68">
        <f t="shared" si="4"/>
        <v>0</v>
      </c>
      <c r="H34" s="254">
        <f>G34/(AVERAGE('Parámetros'!$F$5:$F$6)+$F$37)</f>
        <v>0</v>
      </c>
      <c r="I34" s="146"/>
      <c r="J34" s="146"/>
      <c r="K34" s="146"/>
    </row>
    <row r="35" ht="14.25" customHeight="1">
      <c r="A35" s="251"/>
      <c r="B35" s="252"/>
      <c r="C35" s="68" t="str">
        <f>IFERROR(VLOOKUP(B35,'Parámetros'!A$1:B121,2, FALSE),"")</f>
        <v/>
      </c>
      <c r="D35" s="208"/>
      <c r="E35" s="258"/>
      <c r="F35" s="68">
        <f t="shared" si="3"/>
        <v>0</v>
      </c>
      <c r="G35" s="68">
        <f t="shared" si="4"/>
        <v>0</v>
      </c>
      <c r="H35" s="254">
        <f>G35/(AVERAGE('Parámetros'!$F$5:$F$6)+$F$37)</f>
        <v>0</v>
      </c>
      <c r="I35" s="146"/>
      <c r="J35" s="146"/>
      <c r="K35" s="146"/>
    </row>
    <row r="36" ht="14.25" customHeight="1">
      <c r="A36" s="251"/>
      <c r="B36" s="255"/>
      <c r="C36" s="68" t="str">
        <f>IFERROR(VLOOKUP(B36,'Parámetros'!A$1:B122,2, FALSE),"")</f>
        <v/>
      </c>
      <c r="D36" s="208"/>
      <c r="E36" s="258"/>
      <c r="F36" s="68">
        <f t="shared" si="3"/>
        <v>0</v>
      </c>
      <c r="G36" s="68">
        <f t="shared" si="4"/>
        <v>0</v>
      </c>
      <c r="H36" s="254">
        <f>G36/(AVERAGE('Parámetros'!$F$5:$F$6)+$F$37)</f>
        <v>0</v>
      </c>
      <c r="I36" s="146"/>
      <c r="J36" s="146"/>
      <c r="K36" s="146"/>
    </row>
    <row r="37" ht="14.25" customHeight="1">
      <c r="F37" s="259">
        <f t="shared" ref="F37:H37" si="5">SUM(F27:F36)</f>
        <v>12500000</v>
      </c>
      <c r="G37" s="259">
        <f t="shared" si="5"/>
        <v>50000000</v>
      </c>
      <c r="H37" s="260">
        <f t="shared" si="5"/>
        <v>0.122670432</v>
      </c>
      <c r="M37" s="90"/>
      <c r="N37" s="91"/>
      <c r="O37" s="92"/>
      <c r="P37" s="93"/>
      <c r="Q37" s="94"/>
    </row>
    <row r="38" ht="14.25" customHeight="1">
      <c r="G38" s="55"/>
    </row>
    <row r="39" ht="14.25" customHeight="1">
      <c r="G39" s="55"/>
    </row>
    <row r="40" ht="14.25" customHeight="1">
      <c r="C40" s="261" t="s">
        <v>9</v>
      </c>
      <c r="D40" s="261" t="s">
        <v>45</v>
      </c>
      <c r="G40" s="55"/>
    </row>
    <row r="41" ht="14.25" customHeight="1">
      <c r="F41" s="97"/>
      <c r="G41" s="55"/>
    </row>
    <row r="42" ht="14.25" customHeight="1">
      <c r="B42" s="262" t="s">
        <v>31</v>
      </c>
      <c r="C42" s="261" t="s">
        <v>35</v>
      </c>
      <c r="D42" s="263" t="s">
        <v>48</v>
      </c>
      <c r="E42" s="261" t="s">
        <v>50</v>
      </c>
      <c r="F42" s="261" t="s">
        <v>159</v>
      </c>
      <c r="G42" s="55"/>
    </row>
    <row r="43" ht="14.25" customHeight="1">
      <c r="B43" s="264" t="str">
        <f t="shared" ref="B43:B52" si="6">B27</f>
        <v>Forward Deployed Pruduct experience</v>
      </c>
      <c r="C43" s="265">
        <f t="shared" ref="C43:C52" si="7">E27</f>
        <v>0.5</v>
      </c>
      <c r="D43" s="266">
        <f t="shared" ref="D43:D52" si="8">C43*180</f>
        <v>90</v>
      </c>
      <c r="E43" s="267">
        <f>IFERROR((IF($C$40="Gross Margin",F27/$F$37*$F$12,IF($C$40="Net Margin",F27/$F$37*$F$18,"Error")))/D43,"")/IF($D$40="USD",'Parámetros'!$L$3,1)/$C$10</f>
        <v>12.62052602</v>
      </c>
      <c r="F43" s="267">
        <f t="shared" ref="F43:F52" si="9">E43*D43</f>
        <v>1135.847342</v>
      </c>
      <c r="G43" s="55"/>
    </row>
    <row r="44" ht="14.25" customHeight="1">
      <c r="B44" s="264" t="str">
        <f t="shared" si="6"/>
        <v>Forward Deployed Enginnier</v>
      </c>
      <c r="C44" s="265">
        <f t="shared" si="7"/>
        <v>1</v>
      </c>
      <c r="D44" s="266">
        <f t="shared" si="8"/>
        <v>180</v>
      </c>
      <c r="E44" s="267">
        <f>IFERROR((IF($C$40="Gross Margin",F28/$F$37*$F$12,IF($C$40="Net Margin",F28/$F$37*$F$18,"Error")))/D44,"")/IF($D$40="USD",'Parámetros'!$L$3,1)/$C$10</f>
        <v>17.66873643</v>
      </c>
      <c r="F44" s="267">
        <f t="shared" si="9"/>
        <v>3180.372558</v>
      </c>
      <c r="G44" s="55"/>
    </row>
    <row r="45" ht="14.25" customHeight="1">
      <c r="B45" s="264" t="str">
        <f t="shared" si="6"/>
        <v>Tech Leald Orchestaror</v>
      </c>
      <c r="C45" s="265">
        <f t="shared" si="7"/>
        <v>0.3</v>
      </c>
      <c r="D45" s="266">
        <f t="shared" si="8"/>
        <v>54</v>
      </c>
      <c r="E45" s="267">
        <f>IFERROR((IF($C$40="Gross Margin",F29/$F$37*$F$12,IF($C$40="Net Margin",F29/$F$37*$F$18,"Error")))/D45,"")/IF($D$40="USD",'Parámetros'!$L$3,1)/$C$10</f>
        <v>25.24105205</v>
      </c>
      <c r="F45" s="267">
        <f t="shared" si="9"/>
        <v>1363.016811</v>
      </c>
      <c r="G45" s="23"/>
    </row>
    <row r="46" ht="14.25" customHeight="1">
      <c r="B46" s="264" t="str">
        <f t="shared" si="6"/>
        <v/>
      </c>
      <c r="C46" s="265" t="str">
        <f t="shared" si="7"/>
        <v/>
      </c>
      <c r="D46" s="266">
        <f t="shared" si="8"/>
        <v>0</v>
      </c>
      <c r="E46" s="267">
        <f>IFERROR((IF($C$40="Gross Margin",F30/$F$37*$F$12,IF($C$40="Net Margin",F30/$F$37*$F$18,"Error")))/D46,"")/IF($D$40="USD",'Parámetros'!$L$3,1)/$C$10</f>
        <v>0</v>
      </c>
      <c r="F46" s="267">
        <f t="shared" si="9"/>
        <v>0</v>
      </c>
      <c r="G46" s="23"/>
    </row>
    <row r="47" ht="14.25" customHeight="1">
      <c r="B47" s="264" t="str">
        <f t="shared" si="6"/>
        <v/>
      </c>
      <c r="C47" s="265" t="str">
        <f t="shared" si="7"/>
        <v/>
      </c>
      <c r="D47" s="266">
        <f t="shared" si="8"/>
        <v>0</v>
      </c>
      <c r="E47" s="267">
        <f>IFERROR((IF($C$40="Gross Margin",F31/$F$37*$F$12,IF($C$40="Net Margin",F31/$F$37*$F$18,"Error")))/D47,"")/IF($D$40="USD",'Parámetros'!$L$3,1)/$C$10</f>
        <v>0</v>
      </c>
      <c r="F47" s="267">
        <f t="shared" si="9"/>
        <v>0</v>
      </c>
      <c r="G47" s="55"/>
    </row>
    <row r="48" ht="14.25" customHeight="1">
      <c r="B48" s="264" t="str">
        <f t="shared" si="6"/>
        <v/>
      </c>
      <c r="C48" s="265" t="str">
        <f t="shared" si="7"/>
        <v/>
      </c>
      <c r="D48" s="266">
        <f t="shared" si="8"/>
        <v>0</v>
      </c>
      <c r="E48" s="267">
        <f>IFERROR((IF($C$40="Gross Margin",F32/$F$37*$F$12,IF($C$40="Net Margin",F32/$F$37*$F$18,"Error")))/D48,"")/IF($D$40="USD",'Parámetros'!$L$3,1)</f>
        <v>0</v>
      </c>
      <c r="F48" s="267">
        <f t="shared" si="9"/>
        <v>0</v>
      </c>
      <c r="G48" s="55"/>
    </row>
    <row r="49" ht="14.25" customHeight="1">
      <c r="B49" s="264" t="str">
        <f t="shared" si="6"/>
        <v/>
      </c>
      <c r="C49" s="265" t="str">
        <f t="shared" si="7"/>
        <v/>
      </c>
      <c r="D49" s="266">
        <f t="shared" si="8"/>
        <v>0</v>
      </c>
      <c r="E49" s="267">
        <f>IFERROR((IF($C$40="Gross Margin",F33/$F$37*$F$12,IF($C$40="Net Margin",F33/$F$37*$F$18,"Error")))/D49,"")/IF($D$40="USD",'Parámetros'!$L$3,1)</f>
        <v>0</v>
      </c>
      <c r="F49" s="267">
        <f t="shared" si="9"/>
        <v>0</v>
      </c>
      <c r="G49" s="55"/>
    </row>
    <row r="50" ht="14.25" customHeight="1">
      <c r="B50" s="264" t="str">
        <f t="shared" si="6"/>
        <v/>
      </c>
      <c r="C50" s="265" t="str">
        <f t="shared" si="7"/>
        <v/>
      </c>
      <c r="D50" s="266">
        <f t="shared" si="8"/>
        <v>0</v>
      </c>
      <c r="E50" s="267">
        <f>IFERROR((IF($C$40="Gross Margin",F34/$F$37*$F$12,IF($C$40="Net Margin",F34/$F$37*$F$18,"Error")))/D50,"")/IF($D$40="USD",'Parámetros'!$L$3,1)</f>
        <v>0</v>
      </c>
      <c r="F50" s="267">
        <f t="shared" si="9"/>
        <v>0</v>
      </c>
      <c r="G50" s="55"/>
    </row>
    <row r="51" ht="14.25" customHeight="1">
      <c r="B51" s="264" t="str">
        <f t="shared" si="6"/>
        <v/>
      </c>
      <c r="C51" s="265" t="str">
        <f t="shared" si="7"/>
        <v/>
      </c>
      <c r="D51" s="266">
        <f t="shared" si="8"/>
        <v>0</v>
      </c>
      <c r="E51" s="267">
        <f>IFERROR((IF($C$40="Gross Margin",F35/$F$37*$F$12,IF($C$40="Net Margin",F35/$F$37*$F$18,"Error")))/D51,"")/IF($D$40="USD",'Parámetros'!$L$3,1)</f>
        <v>0</v>
      </c>
      <c r="F51" s="267">
        <f t="shared" si="9"/>
        <v>0</v>
      </c>
      <c r="G51" s="55"/>
    </row>
    <row r="52" ht="14.25" customHeight="1">
      <c r="B52" s="264" t="str">
        <f t="shared" si="6"/>
        <v/>
      </c>
      <c r="C52" s="265" t="str">
        <f t="shared" si="7"/>
        <v/>
      </c>
      <c r="D52" s="268">
        <f t="shared" si="8"/>
        <v>0</v>
      </c>
      <c r="E52" s="267">
        <f>IFERROR((IF($C$40="Gross Margin",F36/$F$37*$F$12,IF($C$40="Net Margin",F36/$F$37*$F$18,"Error")))/D52,"")/IF($D$40="USD",'Parámetros'!$L$3,1)</f>
        <v>0</v>
      </c>
      <c r="F52" s="267">
        <f t="shared" si="9"/>
        <v>0</v>
      </c>
      <c r="G52" s="55"/>
    </row>
    <row r="53" ht="14.25" customHeight="1">
      <c r="E53" s="269" t="s">
        <v>52</v>
      </c>
      <c r="F53" s="270">
        <f>SUM(F43:F52)</f>
        <v>5679.236711</v>
      </c>
      <c r="G53" s="55"/>
    </row>
    <row r="54" ht="14.25" customHeight="1">
      <c r="E54" s="269" t="s">
        <v>167</v>
      </c>
      <c r="F54" s="270">
        <f>F53-G13</f>
        <v>0</v>
      </c>
      <c r="G54" s="55"/>
    </row>
    <row r="55" ht="14.25" customHeight="1">
      <c r="D55" s="271"/>
      <c r="E55" s="271"/>
      <c r="G55" s="55"/>
    </row>
    <row r="56" ht="14.25" customHeight="1">
      <c r="B56" s="272" t="s">
        <v>11</v>
      </c>
      <c r="C56" s="272" t="s">
        <v>52</v>
      </c>
      <c r="D56" s="273" t="s">
        <v>116</v>
      </c>
      <c r="E56" s="274"/>
      <c r="G56" s="55"/>
    </row>
    <row r="57" ht="14.25" customHeight="1" outlineLevel="1">
      <c r="A57" s="33"/>
      <c r="B57" s="275" t="s">
        <v>14</v>
      </c>
      <c r="C57" s="276">
        <f>G37</f>
        <v>50000000</v>
      </c>
      <c r="D57" s="276">
        <f t="shared" ref="D57:D62" si="10">C57/C$10</f>
        <v>12500000</v>
      </c>
      <c r="E57" s="277"/>
      <c r="F57" s="33"/>
      <c r="G57" s="37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</row>
    <row r="58" ht="14.25" customHeight="1" outlineLevel="1">
      <c r="A58" s="33"/>
      <c r="B58" s="278" t="s">
        <v>17</v>
      </c>
      <c r="C58" s="279">
        <f>C60+C61+C59</f>
        <v>17283149.11</v>
      </c>
      <c r="D58" s="279">
        <f t="shared" si="10"/>
        <v>4320787.276</v>
      </c>
      <c r="E58" s="277"/>
      <c r="F58" s="33"/>
      <c r="G58" s="37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</row>
    <row r="59" ht="14.25" customHeight="1" outlineLevel="1">
      <c r="B59" s="280" t="s">
        <v>19</v>
      </c>
      <c r="C59" s="70"/>
      <c r="D59" s="70">
        <f t="shared" si="10"/>
        <v>0</v>
      </c>
      <c r="E59" s="271"/>
      <c r="G59" s="55"/>
    </row>
    <row r="60" ht="14.25" customHeight="1" outlineLevel="1">
      <c r="B60" s="280" t="s">
        <v>20</v>
      </c>
      <c r="C60" s="281">
        <f>H37*AVERAGE('Parámetros'!G8:G9)*IF(C2="Network",15%,100%)*IF(C2="Enterprise",40%,100%)</f>
        <v>17283149.11</v>
      </c>
      <c r="D60" s="281">
        <f t="shared" si="10"/>
        <v>4320787.276</v>
      </c>
      <c r="E60" s="282"/>
      <c r="G60" s="55"/>
    </row>
    <row r="61" ht="14.25" customHeight="1" outlineLevel="1">
      <c r="B61" s="280" t="s">
        <v>21</v>
      </c>
      <c r="C61" s="70"/>
      <c r="D61" s="70">
        <f t="shared" si="10"/>
        <v>0</v>
      </c>
      <c r="E61" s="282"/>
      <c r="G61" s="55"/>
    </row>
    <row r="62" ht="14.25" customHeight="1">
      <c r="B62" s="283" t="s">
        <v>23</v>
      </c>
      <c r="C62" s="284">
        <f>C57+C58</f>
        <v>67283149.11</v>
      </c>
      <c r="D62" s="284">
        <f t="shared" si="10"/>
        <v>16820787.28</v>
      </c>
      <c r="E62" s="277"/>
      <c r="G62" s="55"/>
    </row>
    <row r="63" ht="14.25" customHeight="1">
      <c r="B63" s="285" t="s">
        <v>168</v>
      </c>
      <c r="C63" s="286">
        <f t="shared" ref="C63:D63" si="11">C57+C59+C61</f>
        <v>50000000</v>
      </c>
      <c r="D63" s="286">
        <f t="shared" si="11"/>
        <v>12500000</v>
      </c>
      <c r="E63" s="287"/>
      <c r="G63" s="55"/>
    </row>
    <row r="64">
      <c r="D64" s="271"/>
      <c r="E64" s="271"/>
      <c r="G64" s="55"/>
    </row>
    <row r="65" ht="14.25" customHeight="1">
      <c r="G65" s="55"/>
    </row>
    <row r="66" ht="14.25" customHeight="1">
      <c r="G66" s="55"/>
    </row>
    <row r="67" ht="14.25" customHeight="1">
      <c r="G67" s="55"/>
    </row>
    <row r="68" ht="14.25" customHeight="1">
      <c r="G68" s="55"/>
    </row>
    <row r="69" ht="14.25" customHeight="1">
      <c r="G69" s="55"/>
    </row>
    <row r="70" ht="14.25" customHeight="1">
      <c r="G70" s="55"/>
    </row>
    <row r="71" ht="14.25" customHeight="1">
      <c r="G71" s="55"/>
    </row>
    <row r="72" ht="14.25" customHeight="1">
      <c r="G72" s="55"/>
    </row>
    <row r="73" ht="14.25" customHeight="1">
      <c r="G73" s="55"/>
    </row>
    <row r="74" ht="14.25" customHeight="1">
      <c r="G74" s="55"/>
    </row>
    <row r="75" ht="14.25" customHeight="1">
      <c r="G75" s="55"/>
    </row>
    <row r="76" ht="14.25" customHeight="1">
      <c r="G76" s="55"/>
    </row>
    <row r="77" ht="14.25" customHeight="1">
      <c r="G77" s="55"/>
    </row>
    <row r="78" ht="14.25" customHeight="1">
      <c r="G78" s="55"/>
    </row>
    <row r="79" ht="14.25" customHeight="1">
      <c r="G79" s="55"/>
    </row>
    <row r="80" ht="14.25" customHeight="1">
      <c r="G80" s="55"/>
    </row>
    <row r="81" ht="14.25" customHeight="1">
      <c r="G81" s="55"/>
    </row>
    <row r="82" ht="14.25" customHeight="1">
      <c r="G82" s="55"/>
    </row>
    <row r="83" ht="14.25" customHeight="1">
      <c r="G83" s="55"/>
    </row>
    <row r="84" ht="14.25" customHeight="1">
      <c r="G84" s="55"/>
    </row>
    <row r="85" ht="14.25" customHeight="1">
      <c r="G85" s="55"/>
    </row>
    <row r="86" ht="14.25" customHeight="1">
      <c r="G86" s="55"/>
    </row>
    <row r="87" ht="14.25" customHeight="1">
      <c r="G87" s="55"/>
    </row>
    <row r="88" ht="14.25" customHeight="1">
      <c r="G88" s="55"/>
    </row>
    <row r="89" ht="14.25" customHeight="1">
      <c r="G89" s="55"/>
    </row>
    <row r="90" ht="14.25" customHeight="1">
      <c r="G90" s="55"/>
    </row>
    <row r="91" ht="14.25" customHeight="1">
      <c r="G91" s="55"/>
    </row>
    <row r="92" ht="14.25" customHeight="1">
      <c r="G92" s="55"/>
    </row>
    <row r="93" ht="14.25" customHeight="1">
      <c r="G93" s="55"/>
    </row>
    <row r="94" ht="14.25" customHeight="1">
      <c r="G94" s="55"/>
    </row>
    <row r="95" ht="14.25" customHeight="1">
      <c r="G95" s="55"/>
    </row>
    <row r="96" ht="14.25" customHeight="1">
      <c r="G96" s="55"/>
    </row>
    <row r="97" ht="14.25" customHeight="1">
      <c r="G97" s="55"/>
    </row>
    <row r="98" ht="14.25" customHeight="1">
      <c r="G98" s="55"/>
    </row>
    <row r="99" ht="14.25" customHeight="1">
      <c r="G99" s="55"/>
    </row>
    <row r="100" ht="14.25" customHeight="1">
      <c r="G100" s="55"/>
    </row>
    <row r="101" ht="14.25" customHeight="1">
      <c r="G101" s="55"/>
    </row>
    <row r="102" ht="14.25" customHeight="1">
      <c r="G102" s="55"/>
    </row>
    <row r="103" ht="14.25" customHeight="1">
      <c r="G103" s="55"/>
    </row>
    <row r="104" ht="14.25" customHeight="1">
      <c r="G104" s="55"/>
    </row>
    <row r="105" ht="14.25" customHeight="1">
      <c r="G105" s="55"/>
    </row>
    <row r="106" ht="14.25" customHeight="1">
      <c r="G106" s="55"/>
    </row>
    <row r="107" ht="14.25" customHeight="1">
      <c r="G107" s="55"/>
    </row>
    <row r="108" ht="14.25" customHeight="1">
      <c r="G108" s="55"/>
    </row>
    <row r="109" ht="14.25" customHeight="1">
      <c r="G109" s="55"/>
    </row>
    <row r="110" ht="14.25" customHeight="1">
      <c r="G110" s="55"/>
    </row>
    <row r="111" ht="14.25" customHeight="1">
      <c r="G111" s="55"/>
    </row>
    <row r="112" ht="14.25" customHeight="1">
      <c r="G112" s="55"/>
    </row>
    <row r="113" ht="14.25" customHeight="1">
      <c r="G113" s="55"/>
    </row>
    <row r="114" ht="14.25" customHeight="1">
      <c r="G114" s="55"/>
    </row>
    <row r="115" ht="14.25" customHeight="1">
      <c r="G115" s="55"/>
    </row>
    <row r="116" ht="14.25" customHeight="1">
      <c r="G116" s="55"/>
    </row>
    <row r="117" ht="14.25" customHeight="1">
      <c r="G117" s="55"/>
    </row>
    <row r="118" ht="14.25" customHeight="1">
      <c r="G118" s="55"/>
    </row>
    <row r="119" ht="14.25" customHeight="1">
      <c r="G119" s="55"/>
    </row>
    <row r="120" ht="14.25" customHeight="1">
      <c r="G120" s="55"/>
    </row>
    <row r="121" ht="14.25" customHeight="1">
      <c r="G121" s="55"/>
    </row>
    <row r="122" ht="14.25" customHeight="1">
      <c r="G122" s="55"/>
    </row>
    <row r="123" ht="14.25" customHeight="1">
      <c r="G123" s="55"/>
    </row>
    <row r="124" ht="14.25" customHeight="1">
      <c r="G124" s="55"/>
    </row>
    <row r="125" ht="14.25" customHeight="1">
      <c r="G125" s="55"/>
    </row>
    <row r="126" ht="14.25" customHeight="1">
      <c r="G126" s="55"/>
    </row>
    <row r="127" ht="14.25" customHeight="1">
      <c r="G127" s="55"/>
    </row>
    <row r="128" ht="14.25" customHeight="1">
      <c r="G128" s="55"/>
    </row>
    <row r="129" ht="14.25" customHeight="1">
      <c r="G129" s="55"/>
    </row>
    <row r="130" ht="14.25" customHeight="1">
      <c r="G130" s="55"/>
    </row>
    <row r="131" ht="14.25" customHeight="1">
      <c r="G131" s="55"/>
    </row>
    <row r="132" ht="14.25" customHeight="1">
      <c r="G132" s="55"/>
    </row>
    <row r="133" ht="14.25" customHeight="1">
      <c r="G133" s="55"/>
    </row>
    <row r="134" ht="14.25" customHeight="1">
      <c r="G134" s="55"/>
    </row>
    <row r="135" ht="14.25" customHeight="1">
      <c r="G135" s="55"/>
    </row>
    <row r="136" ht="14.25" customHeight="1">
      <c r="G136" s="55"/>
    </row>
    <row r="137" ht="14.25" customHeight="1">
      <c r="G137" s="55"/>
    </row>
    <row r="138" ht="14.25" customHeight="1">
      <c r="G138" s="55"/>
    </row>
    <row r="139" ht="14.25" customHeight="1">
      <c r="G139" s="55"/>
    </row>
    <row r="140" ht="14.25" customHeight="1">
      <c r="G140" s="55"/>
    </row>
    <row r="141" ht="14.25" customHeight="1">
      <c r="G141" s="55"/>
    </row>
    <row r="142" ht="14.25" customHeight="1">
      <c r="G142" s="55"/>
    </row>
    <row r="143" ht="14.25" customHeight="1">
      <c r="G143" s="55"/>
    </row>
    <row r="144" ht="14.25" customHeight="1">
      <c r="G144" s="55"/>
    </row>
    <row r="145" ht="14.25" customHeight="1">
      <c r="G145" s="55"/>
    </row>
    <row r="146" ht="14.25" customHeight="1">
      <c r="G146" s="55"/>
    </row>
    <row r="147" ht="14.25" customHeight="1">
      <c r="G147" s="55"/>
    </row>
    <row r="148" ht="14.25" customHeight="1">
      <c r="G148" s="55"/>
    </row>
    <row r="149" ht="14.25" customHeight="1">
      <c r="G149" s="55"/>
    </row>
    <row r="150" ht="14.25" customHeight="1">
      <c r="G150" s="55"/>
    </row>
    <row r="151" ht="14.25" customHeight="1">
      <c r="G151" s="55"/>
    </row>
    <row r="152" ht="14.25" customHeight="1">
      <c r="G152" s="55"/>
    </row>
    <row r="153" ht="14.25" customHeight="1">
      <c r="G153" s="55"/>
    </row>
    <row r="154" ht="14.25" customHeight="1">
      <c r="G154" s="55"/>
    </row>
    <row r="155" ht="14.25" customHeight="1">
      <c r="G155" s="55"/>
    </row>
    <row r="156" ht="14.25" customHeight="1">
      <c r="G156" s="55"/>
    </row>
    <row r="157" ht="14.25" customHeight="1">
      <c r="G157" s="55"/>
    </row>
    <row r="158" ht="14.25" customHeight="1">
      <c r="G158" s="55"/>
    </row>
    <row r="159" ht="14.25" customHeight="1">
      <c r="G159" s="55"/>
    </row>
    <row r="160" ht="14.25" customHeight="1">
      <c r="G160" s="55"/>
    </row>
    <row r="161" ht="14.25" customHeight="1">
      <c r="G161" s="55"/>
    </row>
    <row r="162" ht="14.25" customHeight="1">
      <c r="G162" s="55"/>
    </row>
    <row r="163" ht="14.25" customHeight="1">
      <c r="G163" s="55"/>
    </row>
    <row r="164" ht="14.25" customHeight="1">
      <c r="G164" s="55"/>
    </row>
    <row r="165" ht="14.25" customHeight="1">
      <c r="G165" s="55"/>
    </row>
    <row r="166" ht="14.25" customHeight="1">
      <c r="G166" s="55"/>
    </row>
    <row r="167" ht="14.25" customHeight="1">
      <c r="G167" s="55"/>
    </row>
    <row r="168" ht="14.25" customHeight="1">
      <c r="G168" s="55"/>
    </row>
    <row r="169" ht="14.25" customHeight="1">
      <c r="G169" s="55"/>
    </row>
    <row r="170" ht="14.25" customHeight="1">
      <c r="G170" s="55"/>
    </row>
    <row r="171" ht="14.25" customHeight="1">
      <c r="G171" s="55"/>
    </row>
    <row r="172" ht="14.25" customHeight="1">
      <c r="G172" s="55"/>
    </row>
    <row r="173" ht="14.25" customHeight="1">
      <c r="G173" s="55"/>
    </row>
    <row r="174" ht="14.25" customHeight="1">
      <c r="G174" s="55"/>
    </row>
    <row r="175" ht="14.25" customHeight="1">
      <c r="G175" s="55"/>
    </row>
    <row r="176" ht="14.25" customHeight="1">
      <c r="G176" s="55"/>
    </row>
    <row r="177" ht="14.25" customHeight="1">
      <c r="G177" s="55"/>
    </row>
    <row r="178" ht="14.25" customHeight="1">
      <c r="G178" s="55"/>
    </row>
    <row r="179" ht="14.25" customHeight="1">
      <c r="G179" s="55"/>
    </row>
    <row r="180" ht="14.25" customHeight="1">
      <c r="G180" s="55"/>
    </row>
    <row r="181" ht="14.25" customHeight="1">
      <c r="G181" s="55"/>
    </row>
    <row r="182" ht="14.25" customHeight="1">
      <c r="G182" s="55"/>
    </row>
    <row r="183" ht="14.25" customHeight="1">
      <c r="G183" s="55"/>
    </row>
    <row r="184" ht="14.25" customHeight="1">
      <c r="G184" s="55"/>
    </row>
    <row r="185" ht="14.25" customHeight="1">
      <c r="G185" s="55"/>
    </row>
    <row r="186" ht="14.25" customHeight="1">
      <c r="G186" s="55"/>
    </row>
    <row r="187" ht="14.25" customHeight="1">
      <c r="G187" s="55"/>
    </row>
    <row r="188" ht="14.25" customHeight="1">
      <c r="G188" s="55"/>
    </row>
    <row r="189" ht="14.25" customHeight="1">
      <c r="G189" s="55"/>
    </row>
    <row r="190" ht="14.25" customHeight="1">
      <c r="G190" s="55"/>
    </row>
    <row r="191" ht="14.25" customHeight="1">
      <c r="G191" s="55"/>
    </row>
    <row r="192" ht="14.25" customHeight="1">
      <c r="G192" s="55"/>
    </row>
    <row r="193" ht="14.25" customHeight="1">
      <c r="G193" s="55"/>
    </row>
    <row r="194" ht="14.25" customHeight="1">
      <c r="G194" s="55"/>
    </row>
    <row r="195" ht="14.25" customHeight="1">
      <c r="G195" s="55"/>
    </row>
    <row r="196" ht="14.25" customHeight="1">
      <c r="G196" s="55"/>
    </row>
    <row r="197" ht="14.25" customHeight="1">
      <c r="G197" s="55"/>
    </row>
    <row r="198" ht="14.25" customHeight="1">
      <c r="G198" s="55"/>
    </row>
    <row r="199" ht="14.25" customHeight="1">
      <c r="G199" s="55"/>
    </row>
    <row r="200" ht="14.25" customHeight="1">
      <c r="G200" s="55"/>
    </row>
    <row r="201" ht="14.25" customHeight="1">
      <c r="G201" s="55"/>
    </row>
    <row r="202" ht="14.25" customHeight="1">
      <c r="G202" s="55"/>
    </row>
    <row r="203" ht="14.25" customHeight="1">
      <c r="G203" s="55"/>
    </row>
    <row r="204" ht="14.25" customHeight="1">
      <c r="G204" s="55"/>
    </row>
    <row r="205" ht="14.25" customHeight="1">
      <c r="G205" s="55"/>
    </row>
    <row r="206" ht="14.25" customHeight="1">
      <c r="G206" s="55"/>
    </row>
    <row r="207" ht="14.25" customHeight="1">
      <c r="G207" s="55"/>
    </row>
    <row r="208" ht="14.25" customHeight="1">
      <c r="G208" s="55"/>
    </row>
    <row r="209" ht="14.25" customHeight="1">
      <c r="G209" s="55"/>
    </row>
    <row r="210" ht="14.25" customHeight="1">
      <c r="G210" s="55"/>
    </row>
    <row r="211" ht="14.25" customHeight="1">
      <c r="G211" s="55"/>
    </row>
    <row r="212" ht="14.25" customHeight="1">
      <c r="G212" s="55"/>
    </row>
    <row r="213" ht="14.25" customHeight="1">
      <c r="G213" s="55"/>
    </row>
    <row r="214" ht="14.25" customHeight="1">
      <c r="G214" s="55"/>
    </row>
    <row r="215" ht="14.25" customHeight="1">
      <c r="G215" s="55"/>
    </row>
    <row r="216" ht="14.25" customHeight="1">
      <c r="G216" s="55"/>
    </row>
    <row r="217" ht="14.25" customHeight="1">
      <c r="G217" s="55"/>
    </row>
    <row r="218" ht="14.25" customHeight="1">
      <c r="G218" s="55"/>
    </row>
    <row r="219" ht="14.25" customHeight="1">
      <c r="G219" s="55"/>
    </row>
    <row r="220" ht="14.25" customHeight="1">
      <c r="G220" s="55"/>
    </row>
    <row r="221" ht="14.25" customHeight="1">
      <c r="G221" s="55"/>
    </row>
    <row r="222" ht="14.25" customHeight="1">
      <c r="G222" s="55"/>
    </row>
    <row r="223" ht="14.25" customHeight="1">
      <c r="G223" s="55"/>
    </row>
    <row r="224" ht="14.25" customHeight="1">
      <c r="G224" s="55"/>
    </row>
    <row r="225" ht="14.25" customHeight="1">
      <c r="G225" s="55"/>
    </row>
    <row r="226" ht="14.25" customHeight="1">
      <c r="G226" s="55"/>
    </row>
    <row r="227" ht="14.25" customHeight="1">
      <c r="G227" s="55"/>
    </row>
    <row r="228" ht="14.25" customHeight="1">
      <c r="G228" s="55"/>
    </row>
    <row r="229" ht="14.25" customHeight="1">
      <c r="G229" s="55"/>
    </row>
    <row r="230" ht="14.25" customHeight="1">
      <c r="G230" s="55"/>
    </row>
    <row r="231" ht="14.25" customHeight="1">
      <c r="G231" s="55"/>
    </row>
    <row r="232" ht="14.25" customHeight="1">
      <c r="G232" s="55"/>
    </row>
    <row r="233" ht="14.25" customHeight="1">
      <c r="G233" s="55"/>
    </row>
    <row r="234" ht="14.25" customHeight="1">
      <c r="G234" s="55"/>
    </row>
    <row r="235" ht="14.25" customHeight="1">
      <c r="G235" s="55"/>
    </row>
    <row r="236" ht="14.25" customHeight="1">
      <c r="G236" s="55"/>
    </row>
    <row r="237" ht="14.25" customHeight="1">
      <c r="G237" s="55"/>
    </row>
    <row r="238" ht="14.25" customHeight="1">
      <c r="G238" s="55"/>
    </row>
    <row r="239" ht="14.25" customHeight="1">
      <c r="G239" s="55"/>
    </row>
    <row r="240" ht="14.25" customHeight="1">
      <c r="G240" s="55"/>
    </row>
    <row r="241" ht="14.25" customHeight="1">
      <c r="G241" s="55"/>
    </row>
    <row r="242" ht="14.25" customHeight="1">
      <c r="G242" s="55"/>
    </row>
    <row r="243" ht="14.25" customHeight="1">
      <c r="G243" s="55"/>
    </row>
    <row r="244" ht="14.25" customHeight="1">
      <c r="G244" s="55"/>
    </row>
    <row r="245" ht="14.25" customHeight="1">
      <c r="G245" s="55"/>
    </row>
    <row r="246" ht="14.25" customHeight="1">
      <c r="G246" s="55"/>
    </row>
    <row r="247" ht="14.25" customHeight="1">
      <c r="G247" s="55"/>
    </row>
    <row r="248" ht="14.25" customHeight="1">
      <c r="G248" s="55"/>
    </row>
    <row r="249" ht="14.25" customHeight="1">
      <c r="G249" s="55"/>
    </row>
    <row r="250" ht="14.25" customHeight="1">
      <c r="G250" s="55"/>
    </row>
    <row r="251" ht="14.25" customHeight="1">
      <c r="G251" s="55"/>
    </row>
    <row r="252" ht="14.25" customHeight="1">
      <c r="G252" s="55"/>
    </row>
    <row r="253" ht="14.25" customHeight="1">
      <c r="G253" s="55"/>
    </row>
    <row r="254" ht="14.25" customHeight="1">
      <c r="G254" s="55"/>
    </row>
    <row r="255" ht="14.25" customHeight="1">
      <c r="G255" s="55"/>
    </row>
    <row r="256" ht="14.25" customHeight="1">
      <c r="G256" s="55"/>
    </row>
    <row r="257" ht="14.25" customHeight="1">
      <c r="G257" s="55"/>
    </row>
    <row r="258" ht="14.25" customHeight="1">
      <c r="G258" s="55"/>
    </row>
    <row r="259" ht="14.25" customHeight="1">
      <c r="G259" s="55"/>
    </row>
    <row r="260" ht="14.25" customHeight="1">
      <c r="G260" s="55"/>
    </row>
    <row r="261" ht="14.25" customHeight="1">
      <c r="G261" s="55"/>
    </row>
    <row r="262" ht="14.25" customHeight="1">
      <c r="G262" s="55"/>
    </row>
    <row r="263" ht="14.25" customHeight="1">
      <c r="G263" s="55"/>
    </row>
    <row r="264" ht="14.25" customHeight="1">
      <c r="G264" s="55"/>
    </row>
    <row r="265" ht="14.25" customHeight="1">
      <c r="G265" s="55"/>
    </row>
    <row r="266" ht="14.25" customHeight="1">
      <c r="G266" s="55"/>
    </row>
    <row r="267" ht="14.25" customHeight="1">
      <c r="G267" s="55"/>
    </row>
    <row r="268" ht="14.25" customHeight="1">
      <c r="G268" s="55"/>
    </row>
    <row r="269" ht="14.25" customHeight="1">
      <c r="G269" s="55"/>
    </row>
    <row r="270" ht="14.25" customHeight="1">
      <c r="G270" s="55"/>
    </row>
    <row r="271" ht="14.25" customHeight="1">
      <c r="G271" s="55"/>
    </row>
    <row r="272" ht="14.25" customHeight="1">
      <c r="G272" s="55"/>
    </row>
    <row r="273" ht="14.25" customHeight="1">
      <c r="G273" s="55"/>
    </row>
    <row r="274" ht="14.25" customHeight="1">
      <c r="G274" s="55"/>
    </row>
    <row r="275" ht="14.25" customHeight="1">
      <c r="G275" s="55"/>
    </row>
    <row r="276" ht="14.25" customHeight="1">
      <c r="G276" s="55"/>
    </row>
    <row r="277" ht="14.25" customHeight="1">
      <c r="G277" s="55"/>
    </row>
    <row r="278" ht="14.25" customHeight="1">
      <c r="G278" s="55"/>
    </row>
    <row r="279" ht="14.25" customHeight="1">
      <c r="G279" s="55"/>
    </row>
    <row r="280" ht="14.25" customHeight="1">
      <c r="G280" s="55"/>
    </row>
    <row r="281" ht="14.25" customHeight="1">
      <c r="G281" s="55"/>
    </row>
    <row r="282" ht="14.25" customHeight="1">
      <c r="G282" s="55"/>
    </row>
    <row r="283" ht="14.25" customHeight="1">
      <c r="G283" s="55"/>
    </row>
    <row r="284" ht="14.25" customHeight="1">
      <c r="G284" s="55"/>
    </row>
    <row r="285" ht="14.25" customHeight="1">
      <c r="G285" s="55"/>
    </row>
    <row r="286" ht="14.25" customHeight="1">
      <c r="G286" s="55"/>
    </row>
    <row r="287" ht="14.25" customHeight="1">
      <c r="G287" s="55"/>
    </row>
    <row r="288" ht="14.25" customHeight="1">
      <c r="G288" s="55"/>
    </row>
    <row r="289" ht="14.25" customHeight="1">
      <c r="G289" s="55"/>
    </row>
    <row r="290" ht="14.25" customHeight="1">
      <c r="G290" s="55"/>
    </row>
    <row r="291" ht="14.25" customHeight="1">
      <c r="G291" s="55"/>
    </row>
    <row r="292" ht="14.25" customHeight="1">
      <c r="G292" s="55"/>
    </row>
    <row r="293" ht="14.25" customHeight="1">
      <c r="G293" s="55"/>
    </row>
    <row r="294" ht="14.25" customHeight="1">
      <c r="G294" s="55"/>
    </row>
    <row r="295" ht="14.25" customHeight="1">
      <c r="G295" s="55"/>
    </row>
    <row r="296" ht="14.25" customHeight="1">
      <c r="G296" s="55"/>
    </row>
    <row r="297" ht="14.25" customHeight="1">
      <c r="G297" s="55"/>
    </row>
    <row r="298" ht="14.25" customHeight="1">
      <c r="G298" s="55"/>
    </row>
    <row r="299" ht="14.25" customHeight="1">
      <c r="G299" s="55"/>
    </row>
    <row r="300" ht="14.25" customHeight="1">
      <c r="G300" s="55"/>
    </row>
    <row r="301" ht="14.25" customHeight="1">
      <c r="G301" s="55"/>
    </row>
    <row r="302" ht="14.25" customHeight="1">
      <c r="G302" s="55"/>
    </row>
    <row r="303" ht="14.25" customHeight="1">
      <c r="G303" s="55"/>
    </row>
    <row r="304" ht="14.25" customHeight="1">
      <c r="G304" s="55"/>
    </row>
    <row r="305" ht="14.25" customHeight="1">
      <c r="G305" s="55"/>
    </row>
    <row r="306" ht="14.25" customHeight="1">
      <c r="G306" s="55"/>
    </row>
    <row r="307" ht="14.25" customHeight="1">
      <c r="G307" s="55"/>
    </row>
    <row r="308" ht="14.25" customHeight="1">
      <c r="G308" s="55"/>
    </row>
    <row r="309" ht="14.25" customHeight="1">
      <c r="G309" s="55"/>
    </row>
    <row r="310" ht="14.25" customHeight="1">
      <c r="G310" s="55"/>
    </row>
    <row r="311" ht="14.25" customHeight="1">
      <c r="G311" s="55"/>
    </row>
    <row r="312" ht="14.25" customHeight="1">
      <c r="G312" s="55"/>
    </row>
    <row r="313" ht="14.25" customHeight="1">
      <c r="G313" s="55"/>
    </row>
    <row r="314" ht="14.25" customHeight="1">
      <c r="G314" s="55"/>
    </row>
    <row r="315" ht="14.25" customHeight="1">
      <c r="G315" s="55"/>
    </row>
    <row r="316" ht="14.25" customHeight="1">
      <c r="G316" s="55"/>
    </row>
    <row r="317" ht="14.25" customHeight="1">
      <c r="G317" s="55"/>
    </row>
    <row r="318" ht="14.25" customHeight="1">
      <c r="G318" s="55"/>
    </row>
    <row r="319" ht="14.25" customHeight="1">
      <c r="G319" s="55"/>
    </row>
    <row r="320" ht="14.25" customHeight="1">
      <c r="G320" s="55"/>
    </row>
    <row r="321" ht="14.25" customHeight="1">
      <c r="G321" s="55"/>
    </row>
    <row r="322" ht="14.25" customHeight="1">
      <c r="G322" s="55"/>
    </row>
    <row r="323" ht="14.25" customHeight="1">
      <c r="G323" s="55"/>
    </row>
    <row r="324" ht="14.25" customHeight="1">
      <c r="G324" s="55"/>
    </row>
    <row r="325" ht="14.25" customHeight="1">
      <c r="G325" s="55"/>
    </row>
    <row r="326" ht="14.25" customHeight="1">
      <c r="G326" s="55"/>
    </row>
    <row r="327" ht="14.25" customHeight="1">
      <c r="G327" s="55"/>
    </row>
    <row r="328" ht="14.25" customHeight="1">
      <c r="G328" s="55"/>
    </row>
    <row r="329" ht="14.25" customHeight="1">
      <c r="G329" s="55"/>
    </row>
    <row r="330" ht="14.25" customHeight="1">
      <c r="G330" s="55"/>
    </row>
    <row r="331" ht="14.25" customHeight="1">
      <c r="G331" s="55"/>
    </row>
    <row r="332" ht="14.25" customHeight="1">
      <c r="G332" s="55"/>
    </row>
    <row r="333" ht="14.25" customHeight="1">
      <c r="G333" s="55"/>
    </row>
    <row r="334" ht="14.25" customHeight="1">
      <c r="G334" s="55"/>
    </row>
    <row r="335" ht="14.25" customHeight="1">
      <c r="G335" s="55"/>
    </row>
    <row r="336" ht="14.25" customHeight="1">
      <c r="G336" s="55"/>
    </row>
    <row r="337" ht="14.25" customHeight="1">
      <c r="G337" s="55"/>
    </row>
    <row r="338" ht="14.25" customHeight="1">
      <c r="G338" s="55"/>
    </row>
    <row r="339" ht="14.25" customHeight="1">
      <c r="G339" s="55"/>
    </row>
    <row r="340" ht="14.25" customHeight="1">
      <c r="G340" s="55"/>
    </row>
    <row r="341" ht="14.25" customHeight="1">
      <c r="G341" s="55"/>
    </row>
    <row r="342" ht="14.25" customHeight="1">
      <c r="G342" s="55"/>
    </row>
    <row r="343" ht="14.25" customHeight="1">
      <c r="G343" s="55"/>
    </row>
    <row r="344" ht="14.25" customHeight="1">
      <c r="G344" s="55"/>
    </row>
    <row r="345" ht="14.25" customHeight="1">
      <c r="G345" s="55"/>
    </row>
    <row r="346" ht="14.25" customHeight="1">
      <c r="G346" s="55"/>
    </row>
    <row r="347" ht="14.25" customHeight="1">
      <c r="G347" s="55"/>
    </row>
    <row r="348" ht="14.25" customHeight="1">
      <c r="G348" s="55"/>
    </row>
    <row r="349" ht="14.25" customHeight="1">
      <c r="G349" s="55"/>
    </row>
    <row r="350" ht="14.25" customHeight="1">
      <c r="G350" s="55"/>
    </row>
    <row r="351" ht="14.25" customHeight="1">
      <c r="G351" s="55"/>
    </row>
    <row r="352" ht="14.25" customHeight="1">
      <c r="G352" s="55"/>
    </row>
    <row r="353" ht="14.25" customHeight="1">
      <c r="G353" s="55"/>
    </row>
    <row r="354" ht="14.25" customHeight="1">
      <c r="G354" s="55"/>
    </row>
    <row r="355" ht="14.25" customHeight="1">
      <c r="G355" s="55"/>
    </row>
    <row r="356" ht="14.25" customHeight="1">
      <c r="G356" s="55"/>
    </row>
    <row r="357" ht="14.25" customHeight="1">
      <c r="G357" s="55"/>
    </row>
    <row r="358" ht="14.25" customHeight="1">
      <c r="G358" s="55"/>
    </row>
    <row r="359" ht="14.25" customHeight="1">
      <c r="G359" s="55"/>
    </row>
    <row r="360" ht="14.25" customHeight="1">
      <c r="G360" s="55"/>
    </row>
    <row r="361" ht="14.25" customHeight="1">
      <c r="G361" s="55"/>
    </row>
    <row r="362" ht="14.25" customHeight="1">
      <c r="G362" s="55"/>
    </row>
    <row r="363" ht="14.25" customHeight="1">
      <c r="G363" s="55"/>
    </row>
    <row r="364" ht="14.25" customHeight="1">
      <c r="G364" s="55"/>
    </row>
    <row r="365" ht="14.25" customHeight="1">
      <c r="G365" s="55"/>
    </row>
    <row r="366" ht="14.25" customHeight="1">
      <c r="G366" s="55"/>
    </row>
    <row r="367" ht="14.25" customHeight="1">
      <c r="G367" s="55"/>
    </row>
    <row r="368" ht="14.25" customHeight="1">
      <c r="G368" s="55"/>
    </row>
    <row r="369" ht="14.25" customHeight="1">
      <c r="G369" s="55"/>
    </row>
    <row r="370" ht="14.25" customHeight="1">
      <c r="G370" s="55"/>
    </row>
    <row r="371" ht="14.25" customHeight="1">
      <c r="G371" s="55"/>
    </row>
    <row r="372" ht="14.25" customHeight="1">
      <c r="G372" s="55"/>
    </row>
    <row r="373" ht="14.25" customHeight="1">
      <c r="G373" s="55"/>
    </row>
    <row r="374" ht="14.25" customHeight="1">
      <c r="G374" s="55"/>
    </row>
    <row r="375" ht="14.25" customHeight="1">
      <c r="G375" s="55"/>
    </row>
    <row r="376" ht="14.25" customHeight="1">
      <c r="G376" s="55"/>
    </row>
    <row r="377" ht="14.25" customHeight="1">
      <c r="G377" s="55"/>
    </row>
    <row r="378" ht="14.25" customHeight="1">
      <c r="G378" s="55"/>
    </row>
    <row r="379" ht="14.25" customHeight="1">
      <c r="G379" s="55"/>
    </row>
    <row r="380" ht="14.25" customHeight="1">
      <c r="G380" s="55"/>
    </row>
    <row r="381" ht="14.25" customHeight="1">
      <c r="G381" s="55"/>
    </row>
    <row r="382" ht="14.25" customHeight="1">
      <c r="G382" s="55"/>
    </row>
    <row r="383" ht="14.25" customHeight="1">
      <c r="G383" s="55"/>
    </row>
    <row r="384" ht="14.25" customHeight="1">
      <c r="G384" s="55"/>
    </row>
    <row r="385" ht="14.25" customHeight="1">
      <c r="G385" s="55"/>
    </row>
    <row r="386" ht="14.25" customHeight="1">
      <c r="G386" s="55"/>
    </row>
    <row r="387" ht="14.25" customHeight="1">
      <c r="G387" s="55"/>
    </row>
    <row r="388" ht="14.25" customHeight="1">
      <c r="G388" s="55"/>
    </row>
    <row r="389" ht="14.25" customHeight="1">
      <c r="G389" s="55"/>
    </row>
    <row r="390" ht="14.25" customHeight="1">
      <c r="G390" s="55"/>
    </row>
    <row r="391" ht="14.25" customHeight="1">
      <c r="G391" s="55"/>
    </row>
    <row r="392" ht="14.25" customHeight="1">
      <c r="G392" s="55"/>
    </row>
    <row r="393" ht="14.25" customHeight="1">
      <c r="G393" s="55"/>
    </row>
    <row r="394" ht="14.25" customHeight="1">
      <c r="G394" s="55"/>
    </row>
    <row r="395" ht="14.25" customHeight="1">
      <c r="G395" s="55"/>
    </row>
    <row r="396" ht="14.25" customHeight="1">
      <c r="G396" s="55"/>
    </row>
    <row r="397" ht="14.25" customHeight="1">
      <c r="G397" s="55"/>
    </row>
    <row r="398" ht="14.25" customHeight="1">
      <c r="G398" s="55"/>
    </row>
    <row r="399" ht="14.25" customHeight="1">
      <c r="G399" s="55"/>
    </row>
    <row r="400" ht="14.25" customHeight="1">
      <c r="G400" s="55"/>
    </row>
    <row r="401" ht="14.25" customHeight="1">
      <c r="G401" s="55"/>
    </row>
    <row r="402" ht="14.25" customHeight="1">
      <c r="G402" s="55"/>
    </row>
    <row r="403" ht="14.25" customHeight="1">
      <c r="G403" s="55"/>
    </row>
    <row r="404" ht="14.25" customHeight="1">
      <c r="G404" s="55"/>
    </row>
    <row r="405" ht="14.25" customHeight="1">
      <c r="G405" s="55"/>
    </row>
    <row r="406" ht="14.25" customHeight="1">
      <c r="G406" s="55"/>
    </row>
    <row r="407" ht="14.25" customHeight="1">
      <c r="G407" s="55"/>
    </row>
    <row r="408" ht="14.25" customHeight="1">
      <c r="G408" s="55"/>
    </row>
    <row r="409" ht="14.25" customHeight="1">
      <c r="G409" s="55"/>
    </row>
    <row r="410" ht="14.25" customHeight="1">
      <c r="G410" s="55"/>
    </row>
    <row r="411" ht="14.25" customHeight="1">
      <c r="G411" s="55"/>
    </row>
    <row r="412" ht="14.25" customHeight="1">
      <c r="G412" s="55"/>
    </row>
    <row r="413" ht="14.25" customHeight="1">
      <c r="G413" s="55"/>
    </row>
    <row r="414" ht="14.25" customHeight="1">
      <c r="G414" s="55"/>
    </row>
    <row r="415" ht="14.25" customHeight="1">
      <c r="G415" s="55"/>
    </row>
    <row r="416" ht="14.25" customHeight="1">
      <c r="G416" s="55"/>
    </row>
    <row r="417" ht="14.25" customHeight="1">
      <c r="G417" s="55"/>
    </row>
    <row r="418" ht="14.25" customHeight="1">
      <c r="G418" s="55"/>
    </row>
    <row r="419" ht="14.25" customHeight="1">
      <c r="G419" s="55"/>
    </row>
    <row r="420" ht="14.25" customHeight="1">
      <c r="G420" s="55"/>
    </row>
    <row r="421" ht="14.25" customHeight="1">
      <c r="G421" s="55"/>
    </row>
    <row r="422" ht="14.25" customHeight="1">
      <c r="G422" s="55"/>
    </row>
    <row r="423" ht="14.25" customHeight="1">
      <c r="G423" s="55"/>
    </row>
    <row r="424" ht="14.25" customHeight="1">
      <c r="G424" s="55"/>
    </row>
    <row r="425" ht="14.25" customHeight="1">
      <c r="G425" s="55"/>
    </row>
    <row r="426" ht="14.25" customHeight="1">
      <c r="G426" s="55"/>
    </row>
    <row r="427" ht="14.25" customHeight="1">
      <c r="G427" s="55"/>
    </row>
    <row r="428" ht="14.25" customHeight="1">
      <c r="G428" s="55"/>
    </row>
    <row r="429" ht="14.25" customHeight="1">
      <c r="G429" s="55"/>
    </row>
    <row r="430" ht="14.25" customHeight="1">
      <c r="G430" s="55"/>
    </row>
    <row r="431" ht="14.25" customHeight="1">
      <c r="G431" s="55"/>
    </row>
    <row r="432" ht="14.25" customHeight="1">
      <c r="G432" s="55"/>
    </row>
    <row r="433" ht="14.25" customHeight="1">
      <c r="G433" s="55"/>
    </row>
    <row r="434" ht="14.25" customHeight="1">
      <c r="G434" s="55"/>
    </row>
    <row r="435" ht="14.25" customHeight="1">
      <c r="G435" s="55"/>
    </row>
    <row r="436" ht="14.25" customHeight="1">
      <c r="G436" s="55"/>
    </row>
    <row r="437" ht="14.25" customHeight="1">
      <c r="G437" s="55"/>
    </row>
    <row r="438" ht="14.25" customHeight="1">
      <c r="G438" s="55"/>
    </row>
    <row r="439" ht="14.25" customHeight="1">
      <c r="G439" s="55"/>
    </row>
    <row r="440" ht="14.25" customHeight="1">
      <c r="G440" s="55"/>
    </row>
    <row r="441" ht="14.25" customHeight="1">
      <c r="G441" s="55"/>
    </row>
    <row r="442" ht="14.25" customHeight="1">
      <c r="G442" s="55"/>
    </row>
    <row r="443" ht="14.25" customHeight="1">
      <c r="G443" s="55"/>
    </row>
    <row r="444" ht="14.25" customHeight="1">
      <c r="G444" s="55"/>
    </row>
    <row r="445" ht="14.25" customHeight="1">
      <c r="G445" s="55"/>
    </row>
    <row r="446" ht="14.25" customHeight="1">
      <c r="G446" s="55"/>
    </row>
    <row r="447" ht="14.25" customHeight="1">
      <c r="G447" s="55"/>
    </row>
    <row r="448" ht="14.25" customHeight="1">
      <c r="G448" s="55"/>
    </row>
    <row r="449" ht="14.25" customHeight="1">
      <c r="G449" s="55"/>
    </row>
    <row r="450" ht="14.25" customHeight="1">
      <c r="G450" s="55"/>
    </row>
    <row r="451" ht="14.25" customHeight="1">
      <c r="G451" s="55"/>
    </row>
    <row r="452" ht="14.25" customHeight="1">
      <c r="G452" s="55"/>
    </row>
    <row r="453" ht="14.25" customHeight="1">
      <c r="G453" s="55"/>
    </row>
    <row r="454" ht="14.25" customHeight="1">
      <c r="G454" s="55"/>
    </row>
    <row r="455" ht="14.25" customHeight="1">
      <c r="G455" s="55"/>
    </row>
    <row r="456" ht="14.25" customHeight="1">
      <c r="G456" s="55"/>
    </row>
    <row r="457" ht="14.25" customHeight="1">
      <c r="G457" s="55"/>
    </row>
    <row r="458" ht="14.25" customHeight="1">
      <c r="G458" s="55"/>
    </row>
    <row r="459" ht="14.25" customHeight="1">
      <c r="G459" s="55"/>
    </row>
    <row r="460" ht="14.25" customHeight="1">
      <c r="G460" s="55"/>
    </row>
    <row r="461" ht="14.25" customHeight="1">
      <c r="G461" s="55"/>
    </row>
    <row r="462" ht="14.25" customHeight="1">
      <c r="G462" s="55"/>
    </row>
    <row r="463" ht="14.25" customHeight="1">
      <c r="G463" s="55"/>
    </row>
    <row r="464" ht="14.25" customHeight="1">
      <c r="G464" s="55"/>
    </row>
    <row r="465" ht="14.25" customHeight="1">
      <c r="G465" s="55"/>
    </row>
    <row r="466" ht="14.25" customHeight="1">
      <c r="G466" s="55"/>
    </row>
    <row r="467" ht="14.25" customHeight="1">
      <c r="G467" s="55"/>
    </row>
    <row r="468" ht="14.25" customHeight="1">
      <c r="G468" s="55"/>
    </row>
    <row r="469" ht="14.25" customHeight="1">
      <c r="G469" s="55"/>
    </row>
    <row r="470" ht="14.25" customHeight="1">
      <c r="G470" s="55"/>
    </row>
    <row r="471" ht="14.25" customHeight="1">
      <c r="G471" s="55"/>
    </row>
    <row r="472" ht="14.25" customHeight="1">
      <c r="G472" s="55"/>
    </row>
    <row r="473" ht="14.25" customHeight="1">
      <c r="G473" s="55"/>
    </row>
    <row r="474" ht="14.25" customHeight="1">
      <c r="G474" s="55"/>
    </row>
    <row r="475" ht="14.25" customHeight="1">
      <c r="G475" s="55"/>
    </row>
    <row r="476" ht="14.25" customHeight="1">
      <c r="G476" s="55"/>
    </row>
    <row r="477" ht="14.25" customHeight="1">
      <c r="G477" s="55"/>
    </row>
    <row r="478" ht="14.25" customHeight="1">
      <c r="G478" s="55"/>
    </row>
    <row r="479" ht="14.25" customHeight="1">
      <c r="G479" s="55"/>
    </row>
    <row r="480" ht="14.25" customHeight="1">
      <c r="G480" s="55"/>
    </row>
    <row r="481" ht="14.25" customHeight="1">
      <c r="G481" s="55"/>
    </row>
    <row r="482" ht="14.25" customHeight="1">
      <c r="G482" s="55"/>
    </row>
    <row r="483" ht="14.25" customHeight="1">
      <c r="G483" s="55"/>
    </row>
    <row r="484" ht="14.25" customHeight="1">
      <c r="G484" s="55"/>
    </row>
    <row r="485" ht="14.25" customHeight="1">
      <c r="G485" s="55"/>
    </row>
    <row r="486" ht="14.25" customHeight="1">
      <c r="G486" s="55"/>
    </row>
    <row r="487" ht="14.25" customHeight="1">
      <c r="G487" s="55"/>
    </row>
    <row r="488" ht="14.25" customHeight="1">
      <c r="G488" s="55"/>
    </row>
    <row r="489" ht="14.25" customHeight="1">
      <c r="G489" s="55"/>
    </row>
    <row r="490" ht="14.25" customHeight="1">
      <c r="G490" s="55"/>
    </row>
    <row r="491" ht="14.25" customHeight="1">
      <c r="G491" s="55"/>
    </row>
    <row r="492" ht="14.25" customHeight="1">
      <c r="G492" s="55"/>
    </row>
    <row r="493" ht="14.25" customHeight="1">
      <c r="G493" s="55"/>
    </row>
    <row r="494" ht="14.25" customHeight="1">
      <c r="G494" s="55"/>
    </row>
    <row r="495" ht="14.25" customHeight="1">
      <c r="G495" s="55"/>
    </row>
    <row r="496" ht="14.25" customHeight="1">
      <c r="G496" s="55"/>
    </row>
    <row r="497" ht="14.25" customHeight="1">
      <c r="G497" s="55"/>
    </row>
    <row r="498" ht="14.25" customHeight="1">
      <c r="G498" s="55"/>
    </row>
    <row r="499" ht="14.25" customHeight="1">
      <c r="G499" s="55"/>
    </row>
    <row r="500" ht="14.25" customHeight="1">
      <c r="G500" s="55"/>
    </row>
    <row r="501" ht="14.25" customHeight="1">
      <c r="G501" s="55"/>
    </row>
    <row r="502" ht="14.25" customHeight="1">
      <c r="G502" s="55"/>
    </row>
    <row r="503" ht="14.25" customHeight="1">
      <c r="G503" s="55"/>
    </row>
    <row r="504" ht="14.25" customHeight="1">
      <c r="G504" s="55"/>
    </row>
    <row r="505" ht="14.25" customHeight="1">
      <c r="G505" s="55"/>
    </row>
    <row r="506" ht="14.25" customHeight="1">
      <c r="G506" s="55"/>
    </row>
    <row r="507" ht="14.25" customHeight="1">
      <c r="G507" s="55"/>
    </row>
    <row r="508" ht="14.25" customHeight="1">
      <c r="G508" s="55"/>
    </row>
    <row r="509" ht="14.25" customHeight="1">
      <c r="G509" s="55"/>
    </row>
    <row r="510" ht="14.25" customHeight="1">
      <c r="G510" s="55"/>
    </row>
    <row r="511" ht="14.25" customHeight="1">
      <c r="G511" s="55"/>
    </row>
    <row r="512" ht="14.25" customHeight="1">
      <c r="G512" s="55"/>
    </row>
    <row r="513" ht="14.25" customHeight="1">
      <c r="G513" s="55"/>
    </row>
    <row r="514" ht="14.25" customHeight="1">
      <c r="G514" s="55"/>
    </row>
    <row r="515" ht="14.25" customHeight="1">
      <c r="G515" s="55"/>
    </row>
    <row r="516" ht="14.25" customHeight="1">
      <c r="G516" s="55"/>
    </row>
    <row r="517" ht="14.25" customHeight="1">
      <c r="G517" s="55"/>
    </row>
    <row r="518" ht="14.25" customHeight="1">
      <c r="G518" s="55"/>
    </row>
    <row r="519" ht="14.25" customHeight="1">
      <c r="G519" s="55"/>
    </row>
    <row r="520" ht="14.25" customHeight="1">
      <c r="G520" s="55"/>
    </row>
    <row r="521" ht="14.25" customHeight="1">
      <c r="G521" s="55"/>
    </row>
    <row r="522" ht="14.25" customHeight="1">
      <c r="G522" s="55"/>
    </row>
    <row r="523" ht="14.25" customHeight="1">
      <c r="G523" s="55"/>
    </row>
    <row r="524" ht="14.25" customHeight="1">
      <c r="G524" s="55"/>
    </row>
    <row r="525" ht="14.25" customHeight="1">
      <c r="G525" s="55"/>
    </row>
    <row r="526" ht="14.25" customHeight="1">
      <c r="G526" s="55"/>
    </row>
    <row r="527" ht="14.25" customHeight="1">
      <c r="G527" s="55"/>
    </row>
    <row r="528" ht="14.25" customHeight="1">
      <c r="G528" s="55"/>
    </row>
    <row r="529" ht="14.25" customHeight="1">
      <c r="G529" s="55"/>
    </row>
    <row r="530" ht="14.25" customHeight="1">
      <c r="G530" s="55"/>
    </row>
    <row r="531" ht="14.25" customHeight="1">
      <c r="G531" s="55"/>
    </row>
    <row r="532" ht="14.25" customHeight="1">
      <c r="G532" s="55"/>
    </row>
    <row r="533" ht="14.25" customHeight="1">
      <c r="G533" s="55"/>
    </row>
    <row r="534" ht="14.25" customHeight="1">
      <c r="G534" s="55"/>
    </row>
    <row r="535" ht="14.25" customHeight="1">
      <c r="G535" s="55"/>
    </row>
    <row r="536" ht="14.25" customHeight="1">
      <c r="G536" s="55"/>
    </row>
    <row r="537" ht="14.25" customHeight="1">
      <c r="G537" s="55"/>
    </row>
    <row r="538" ht="14.25" customHeight="1">
      <c r="G538" s="55"/>
    </row>
    <row r="539" ht="14.25" customHeight="1">
      <c r="G539" s="55"/>
    </row>
    <row r="540" ht="14.25" customHeight="1">
      <c r="G540" s="55"/>
    </row>
    <row r="541" ht="14.25" customHeight="1">
      <c r="G541" s="55"/>
    </row>
    <row r="542" ht="14.25" customHeight="1">
      <c r="G542" s="55"/>
    </row>
    <row r="543" ht="14.25" customHeight="1">
      <c r="G543" s="55"/>
    </row>
    <row r="544" ht="14.25" customHeight="1">
      <c r="G544" s="55"/>
    </row>
    <row r="545" ht="14.25" customHeight="1">
      <c r="G545" s="55"/>
    </row>
    <row r="546" ht="14.25" customHeight="1">
      <c r="G546" s="55"/>
    </row>
    <row r="547" ht="14.25" customHeight="1">
      <c r="G547" s="55"/>
    </row>
    <row r="548" ht="14.25" customHeight="1">
      <c r="G548" s="55"/>
    </row>
    <row r="549" ht="14.25" customHeight="1">
      <c r="G549" s="55"/>
    </row>
    <row r="550" ht="14.25" customHeight="1">
      <c r="G550" s="55"/>
    </row>
    <row r="551" ht="14.25" customHeight="1">
      <c r="G551" s="55"/>
    </row>
    <row r="552" ht="14.25" customHeight="1">
      <c r="G552" s="55"/>
    </row>
    <row r="553" ht="14.25" customHeight="1">
      <c r="G553" s="55"/>
    </row>
    <row r="554" ht="14.25" customHeight="1">
      <c r="G554" s="55"/>
    </row>
    <row r="555" ht="14.25" customHeight="1">
      <c r="G555" s="55"/>
    </row>
    <row r="556" ht="14.25" customHeight="1">
      <c r="G556" s="55"/>
    </row>
    <row r="557" ht="14.25" customHeight="1">
      <c r="G557" s="55"/>
    </row>
    <row r="558" ht="14.25" customHeight="1">
      <c r="G558" s="55"/>
    </row>
    <row r="559" ht="14.25" customHeight="1">
      <c r="G559" s="55"/>
    </row>
    <row r="560" ht="14.25" customHeight="1">
      <c r="G560" s="55"/>
    </row>
    <row r="561" ht="14.25" customHeight="1">
      <c r="G561" s="55"/>
    </row>
    <row r="562" ht="14.25" customHeight="1">
      <c r="G562" s="55"/>
    </row>
    <row r="563" ht="14.25" customHeight="1">
      <c r="G563" s="55"/>
    </row>
    <row r="564" ht="14.25" customHeight="1">
      <c r="G564" s="55"/>
    </row>
    <row r="565" ht="14.25" customHeight="1">
      <c r="G565" s="55"/>
    </row>
    <row r="566" ht="14.25" customHeight="1">
      <c r="G566" s="55"/>
    </row>
    <row r="567" ht="14.25" customHeight="1">
      <c r="G567" s="55"/>
    </row>
    <row r="568" ht="14.25" customHeight="1">
      <c r="G568" s="55"/>
    </row>
    <row r="569" ht="14.25" customHeight="1">
      <c r="G569" s="55"/>
    </row>
    <row r="570" ht="14.25" customHeight="1">
      <c r="G570" s="55"/>
    </row>
    <row r="571" ht="14.25" customHeight="1">
      <c r="G571" s="55"/>
    </row>
    <row r="572" ht="14.25" customHeight="1">
      <c r="G572" s="55"/>
    </row>
    <row r="573" ht="14.25" customHeight="1">
      <c r="G573" s="55"/>
    </row>
    <row r="574" ht="14.25" customHeight="1">
      <c r="G574" s="55"/>
    </row>
    <row r="575" ht="14.25" customHeight="1">
      <c r="G575" s="55"/>
    </row>
    <row r="576" ht="14.25" customHeight="1">
      <c r="G576" s="55"/>
    </row>
    <row r="577" ht="14.25" customHeight="1">
      <c r="G577" s="55"/>
    </row>
    <row r="578" ht="14.25" customHeight="1">
      <c r="G578" s="55"/>
    </row>
    <row r="579" ht="14.25" customHeight="1">
      <c r="G579" s="55"/>
    </row>
    <row r="580" ht="14.25" customHeight="1">
      <c r="G580" s="55"/>
    </row>
    <row r="581" ht="14.25" customHeight="1">
      <c r="G581" s="55"/>
    </row>
    <row r="582" ht="14.25" customHeight="1">
      <c r="G582" s="55"/>
    </row>
    <row r="583" ht="14.25" customHeight="1">
      <c r="G583" s="55"/>
    </row>
    <row r="584" ht="14.25" customHeight="1">
      <c r="G584" s="55"/>
    </row>
    <row r="585" ht="14.25" customHeight="1">
      <c r="G585" s="55"/>
    </row>
    <row r="586" ht="14.25" customHeight="1">
      <c r="G586" s="55"/>
    </row>
    <row r="587" ht="14.25" customHeight="1">
      <c r="G587" s="55"/>
    </row>
    <row r="588" ht="14.25" customHeight="1">
      <c r="G588" s="55"/>
    </row>
    <row r="589" ht="14.25" customHeight="1">
      <c r="G589" s="55"/>
    </row>
    <row r="590" ht="14.25" customHeight="1">
      <c r="G590" s="55"/>
    </row>
    <row r="591" ht="14.25" customHeight="1">
      <c r="G591" s="55"/>
    </row>
    <row r="592" ht="14.25" customHeight="1">
      <c r="G592" s="55"/>
    </row>
    <row r="593" ht="14.25" customHeight="1">
      <c r="G593" s="55"/>
    </row>
    <row r="594" ht="14.25" customHeight="1">
      <c r="G594" s="55"/>
    </row>
    <row r="595" ht="14.25" customHeight="1">
      <c r="G595" s="55"/>
    </row>
    <row r="596" ht="14.25" customHeight="1">
      <c r="G596" s="55"/>
    </row>
    <row r="597" ht="14.25" customHeight="1">
      <c r="G597" s="55"/>
    </row>
    <row r="598" ht="14.25" customHeight="1">
      <c r="G598" s="55"/>
    </row>
    <row r="599" ht="14.25" customHeight="1">
      <c r="G599" s="55"/>
    </row>
    <row r="600" ht="14.25" customHeight="1">
      <c r="G600" s="55"/>
    </row>
    <row r="601" ht="14.25" customHeight="1">
      <c r="G601" s="55"/>
    </row>
    <row r="602" ht="14.25" customHeight="1">
      <c r="G602" s="55"/>
    </row>
    <row r="603" ht="14.25" customHeight="1">
      <c r="G603" s="55"/>
    </row>
    <row r="604" ht="14.25" customHeight="1">
      <c r="G604" s="55"/>
    </row>
    <row r="605" ht="14.25" customHeight="1">
      <c r="G605" s="55"/>
    </row>
    <row r="606" ht="14.25" customHeight="1">
      <c r="G606" s="55"/>
    </row>
    <row r="607" ht="14.25" customHeight="1">
      <c r="G607" s="55"/>
    </row>
    <row r="608" ht="14.25" customHeight="1">
      <c r="G608" s="55"/>
    </row>
    <row r="609" ht="14.25" customHeight="1">
      <c r="G609" s="55"/>
    </row>
    <row r="610" ht="14.25" customHeight="1">
      <c r="G610" s="55"/>
    </row>
    <row r="611" ht="14.25" customHeight="1">
      <c r="G611" s="55"/>
    </row>
    <row r="612" ht="14.25" customHeight="1">
      <c r="G612" s="55"/>
    </row>
    <row r="613" ht="14.25" customHeight="1">
      <c r="G613" s="55"/>
    </row>
    <row r="614" ht="14.25" customHeight="1">
      <c r="G614" s="55"/>
    </row>
    <row r="615" ht="14.25" customHeight="1">
      <c r="G615" s="55"/>
    </row>
    <row r="616" ht="14.25" customHeight="1">
      <c r="G616" s="55"/>
    </row>
    <row r="617" ht="14.25" customHeight="1">
      <c r="G617" s="55"/>
    </row>
    <row r="618" ht="14.25" customHeight="1">
      <c r="G618" s="55"/>
    </row>
    <row r="619" ht="14.25" customHeight="1">
      <c r="G619" s="55"/>
    </row>
    <row r="620" ht="14.25" customHeight="1">
      <c r="G620" s="55"/>
    </row>
    <row r="621" ht="14.25" customHeight="1">
      <c r="G621" s="55"/>
    </row>
    <row r="622" ht="14.25" customHeight="1">
      <c r="G622" s="55"/>
    </row>
    <row r="623" ht="14.25" customHeight="1">
      <c r="G623" s="55"/>
    </row>
    <row r="624" ht="14.25" customHeight="1">
      <c r="G624" s="55"/>
    </row>
    <row r="625" ht="14.25" customHeight="1">
      <c r="G625" s="55"/>
    </row>
    <row r="626" ht="14.25" customHeight="1">
      <c r="G626" s="55"/>
    </row>
    <row r="627" ht="14.25" customHeight="1">
      <c r="G627" s="55"/>
    </row>
    <row r="628" ht="14.25" customHeight="1">
      <c r="G628" s="55"/>
    </row>
    <row r="629" ht="14.25" customHeight="1">
      <c r="G629" s="55"/>
    </row>
    <row r="630" ht="14.25" customHeight="1">
      <c r="G630" s="55"/>
    </row>
    <row r="631" ht="14.25" customHeight="1">
      <c r="G631" s="55"/>
    </row>
    <row r="632" ht="14.25" customHeight="1">
      <c r="G632" s="55"/>
    </row>
    <row r="633" ht="14.25" customHeight="1">
      <c r="G633" s="55"/>
    </row>
    <row r="634" ht="14.25" customHeight="1">
      <c r="G634" s="55"/>
    </row>
    <row r="635" ht="14.25" customHeight="1">
      <c r="G635" s="55"/>
    </row>
    <row r="636" ht="14.25" customHeight="1">
      <c r="G636" s="55"/>
    </row>
    <row r="637" ht="14.25" customHeight="1">
      <c r="G637" s="55"/>
    </row>
    <row r="638" ht="14.25" customHeight="1">
      <c r="G638" s="55"/>
    </row>
    <row r="639" ht="14.25" customHeight="1">
      <c r="G639" s="55"/>
    </row>
    <row r="640" ht="14.25" customHeight="1">
      <c r="G640" s="55"/>
    </row>
    <row r="641" ht="14.25" customHeight="1">
      <c r="G641" s="55"/>
    </row>
    <row r="642" ht="14.25" customHeight="1">
      <c r="G642" s="55"/>
    </row>
    <row r="643" ht="14.25" customHeight="1">
      <c r="G643" s="55"/>
    </row>
    <row r="644" ht="14.25" customHeight="1">
      <c r="G644" s="55"/>
    </row>
    <row r="645" ht="14.25" customHeight="1">
      <c r="G645" s="55"/>
    </row>
    <row r="646" ht="14.25" customHeight="1">
      <c r="G646" s="55"/>
    </row>
    <row r="647" ht="14.25" customHeight="1">
      <c r="G647" s="55"/>
    </row>
    <row r="648" ht="14.25" customHeight="1">
      <c r="G648" s="55"/>
    </row>
    <row r="649" ht="14.25" customHeight="1">
      <c r="G649" s="55"/>
    </row>
    <row r="650" ht="14.25" customHeight="1">
      <c r="G650" s="55"/>
    </row>
    <row r="651" ht="14.25" customHeight="1">
      <c r="G651" s="55"/>
    </row>
    <row r="652" ht="14.25" customHeight="1">
      <c r="G652" s="55"/>
    </row>
    <row r="653" ht="14.25" customHeight="1">
      <c r="G653" s="55"/>
    </row>
    <row r="654" ht="14.25" customHeight="1">
      <c r="G654" s="55"/>
    </row>
    <row r="655" ht="14.25" customHeight="1">
      <c r="G655" s="55"/>
    </row>
    <row r="656" ht="14.25" customHeight="1">
      <c r="G656" s="55"/>
    </row>
    <row r="657" ht="14.25" customHeight="1">
      <c r="G657" s="55"/>
    </row>
    <row r="658" ht="14.25" customHeight="1">
      <c r="G658" s="55"/>
    </row>
    <row r="659" ht="14.25" customHeight="1">
      <c r="G659" s="55"/>
    </row>
    <row r="660" ht="14.25" customHeight="1">
      <c r="G660" s="55"/>
    </row>
    <row r="661" ht="14.25" customHeight="1">
      <c r="G661" s="55"/>
    </row>
    <row r="662" ht="14.25" customHeight="1">
      <c r="G662" s="55"/>
    </row>
    <row r="663" ht="14.25" customHeight="1">
      <c r="G663" s="55"/>
    </row>
    <row r="664" ht="14.25" customHeight="1">
      <c r="G664" s="55"/>
    </row>
    <row r="665" ht="14.25" customHeight="1">
      <c r="G665" s="55"/>
    </row>
    <row r="666" ht="14.25" customHeight="1">
      <c r="G666" s="55"/>
    </row>
    <row r="667" ht="14.25" customHeight="1">
      <c r="G667" s="55"/>
    </row>
    <row r="668" ht="14.25" customHeight="1">
      <c r="G668" s="55"/>
    </row>
    <row r="669" ht="14.25" customHeight="1">
      <c r="G669" s="55"/>
    </row>
    <row r="670" ht="14.25" customHeight="1">
      <c r="G670" s="55"/>
    </row>
    <row r="671" ht="14.25" customHeight="1">
      <c r="G671" s="55"/>
    </row>
    <row r="672" ht="14.25" customHeight="1">
      <c r="G672" s="55"/>
    </row>
    <row r="673" ht="14.25" customHeight="1">
      <c r="G673" s="55"/>
    </row>
    <row r="674" ht="14.25" customHeight="1">
      <c r="G674" s="55"/>
    </row>
    <row r="675" ht="14.25" customHeight="1">
      <c r="G675" s="55"/>
    </row>
    <row r="676" ht="14.25" customHeight="1">
      <c r="G676" s="55"/>
    </row>
    <row r="677" ht="14.25" customHeight="1">
      <c r="G677" s="55"/>
    </row>
    <row r="678" ht="14.25" customHeight="1">
      <c r="G678" s="55"/>
    </row>
    <row r="679" ht="14.25" customHeight="1">
      <c r="G679" s="55"/>
    </row>
    <row r="680" ht="14.25" customHeight="1">
      <c r="G680" s="55"/>
    </row>
    <row r="681" ht="14.25" customHeight="1">
      <c r="G681" s="55"/>
    </row>
    <row r="682" ht="14.25" customHeight="1">
      <c r="G682" s="55"/>
    </row>
    <row r="683" ht="14.25" customHeight="1">
      <c r="G683" s="55"/>
    </row>
    <row r="684" ht="14.25" customHeight="1">
      <c r="G684" s="55"/>
    </row>
    <row r="685" ht="14.25" customHeight="1">
      <c r="G685" s="55"/>
    </row>
    <row r="686" ht="14.25" customHeight="1">
      <c r="G686" s="55"/>
    </row>
    <row r="687" ht="14.25" customHeight="1">
      <c r="G687" s="55"/>
    </row>
    <row r="688" ht="14.25" customHeight="1">
      <c r="G688" s="55"/>
    </row>
    <row r="689" ht="14.25" customHeight="1">
      <c r="G689" s="55"/>
    </row>
    <row r="690" ht="14.25" customHeight="1">
      <c r="G690" s="55"/>
    </row>
    <row r="691" ht="14.25" customHeight="1">
      <c r="G691" s="55"/>
    </row>
    <row r="692" ht="14.25" customHeight="1">
      <c r="G692" s="55"/>
    </row>
    <row r="693" ht="14.25" customHeight="1">
      <c r="G693" s="55"/>
    </row>
    <row r="694" ht="14.25" customHeight="1">
      <c r="G694" s="55"/>
    </row>
    <row r="695" ht="14.25" customHeight="1">
      <c r="G695" s="55"/>
    </row>
    <row r="696" ht="14.25" customHeight="1">
      <c r="G696" s="55"/>
    </row>
    <row r="697" ht="14.25" customHeight="1">
      <c r="G697" s="55"/>
    </row>
    <row r="698" ht="14.25" customHeight="1">
      <c r="G698" s="55"/>
    </row>
    <row r="699" ht="14.25" customHeight="1">
      <c r="G699" s="55"/>
    </row>
    <row r="700" ht="14.25" customHeight="1">
      <c r="G700" s="55"/>
    </row>
    <row r="701" ht="14.25" customHeight="1">
      <c r="G701" s="55"/>
    </row>
    <row r="702" ht="14.25" customHeight="1">
      <c r="G702" s="55"/>
    </row>
    <row r="703" ht="14.25" customHeight="1">
      <c r="G703" s="55"/>
    </row>
    <row r="704" ht="14.25" customHeight="1">
      <c r="G704" s="55"/>
    </row>
    <row r="705" ht="14.25" customHeight="1">
      <c r="G705" s="55"/>
    </row>
    <row r="706" ht="14.25" customHeight="1">
      <c r="G706" s="55"/>
    </row>
    <row r="707" ht="14.25" customHeight="1">
      <c r="G707" s="55"/>
    </row>
    <row r="708" ht="14.25" customHeight="1">
      <c r="G708" s="55"/>
    </row>
    <row r="709" ht="14.25" customHeight="1">
      <c r="G709" s="55"/>
    </row>
    <row r="710" ht="14.25" customHeight="1">
      <c r="G710" s="55"/>
    </row>
    <row r="711" ht="14.25" customHeight="1">
      <c r="G711" s="55"/>
    </row>
    <row r="712" ht="14.25" customHeight="1">
      <c r="G712" s="55"/>
    </row>
    <row r="713" ht="14.25" customHeight="1">
      <c r="G713" s="55"/>
    </row>
    <row r="714" ht="14.25" customHeight="1">
      <c r="G714" s="55"/>
    </row>
    <row r="715" ht="14.25" customHeight="1">
      <c r="G715" s="55"/>
    </row>
    <row r="716" ht="14.25" customHeight="1">
      <c r="G716" s="55"/>
    </row>
    <row r="717" ht="14.25" customHeight="1">
      <c r="G717" s="55"/>
    </row>
    <row r="718" ht="14.25" customHeight="1">
      <c r="G718" s="55"/>
    </row>
    <row r="719" ht="14.25" customHeight="1">
      <c r="G719" s="55"/>
    </row>
    <row r="720" ht="14.25" customHeight="1">
      <c r="G720" s="55"/>
    </row>
    <row r="721" ht="14.25" customHeight="1">
      <c r="G721" s="55"/>
    </row>
    <row r="722" ht="14.25" customHeight="1">
      <c r="G722" s="55"/>
    </row>
    <row r="723" ht="14.25" customHeight="1">
      <c r="G723" s="55"/>
    </row>
    <row r="724" ht="14.25" customHeight="1">
      <c r="G724" s="55"/>
    </row>
    <row r="725" ht="14.25" customHeight="1">
      <c r="G725" s="55"/>
    </row>
    <row r="726" ht="14.25" customHeight="1">
      <c r="G726" s="55"/>
    </row>
    <row r="727" ht="14.25" customHeight="1">
      <c r="G727" s="55"/>
    </row>
    <row r="728" ht="14.25" customHeight="1">
      <c r="G728" s="55"/>
    </row>
    <row r="729" ht="14.25" customHeight="1">
      <c r="G729" s="55"/>
    </row>
    <row r="730" ht="14.25" customHeight="1">
      <c r="G730" s="55"/>
    </row>
    <row r="731" ht="14.25" customHeight="1">
      <c r="G731" s="55"/>
    </row>
    <row r="732" ht="14.25" customHeight="1">
      <c r="G732" s="55"/>
    </row>
    <row r="733" ht="14.25" customHeight="1">
      <c r="G733" s="55"/>
    </row>
    <row r="734" ht="14.25" customHeight="1">
      <c r="G734" s="55"/>
    </row>
    <row r="735" ht="14.25" customHeight="1">
      <c r="G735" s="55"/>
    </row>
    <row r="736" ht="14.25" customHeight="1">
      <c r="G736" s="55"/>
    </row>
    <row r="737" ht="14.25" customHeight="1">
      <c r="G737" s="55"/>
    </row>
    <row r="738" ht="14.25" customHeight="1">
      <c r="G738" s="55"/>
    </row>
    <row r="739" ht="14.25" customHeight="1">
      <c r="G739" s="55"/>
    </row>
    <row r="740" ht="14.25" customHeight="1">
      <c r="G740" s="55"/>
    </row>
    <row r="741" ht="14.25" customHeight="1">
      <c r="G741" s="55"/>
    </row>
    <row r="742" ht="14.25" customHeight="1">
      <c r="G742" s="55"/>
    </row>
    <row r="743" ht="14.25" customHeight="1">
      <c r="G743" s="55"/>
    </row>
    <row r="744" ht="14.25" customHeight="1">
      <c r="G744" s="55"/>
    </row>
    <row r="745" ht="14.25" customHeight="1">
      <c r="G745" s="55"/>
    </row>
    <row r="746" ht="14.25" customHeight="1">
      <c r="G746" s="55"/>
    </row>
    <row r="747" ht="14.25" customHeight="1">
      <c r="G747" s="55"/>
    </row>
    <row r="748" ht="14.25" customHeight="1">
      <c r="G748" s="55"/>
    </row>
    <row r="749" ht="14.25" customHeight="1">
      <c r="G749" s="55"/>
    </row>
    <row r="750" ht="14.25" customHeight="1">
      <c r="G750" s="55"/>
    </row>
    <row r="751" ht="14.25" customHeight="1">
      <c r="G751" s="55"/>
    </row>
    <row r="752" ht="14.25" customHeight="1">
      <c r="G752" s="55"/>
    </row>
    <row r="753" ht="14.25" customHeight="1">
      <c r="G753" s="55"/>
    </row>
    <row r="754" ht="14.25" customHeight="1">
      <c r="G754" s="55"/>
    </row>
    <row r="755" ht="14.25" customHeight="1">
      <c r="G755" s="55"/>
    </row>
    <row r="756" ht="14.25" customHeight="1">
      <c r="G756" s="55"/>
    </row>
    <row r="757" ht="14.25" customHeight="1">
      <c r="G757" s="55"/>
    </row>
    <row r="758" ht="14.25" customHeight="1">
      <c r="G758" s="55"/>
    </row>
    <row r="759" ht="14.25" customHeight="1">
      <c r="G759" s="55"/>
    </row>
    <row r="760" ht="14.25" customHeight="1">
      <c r="G760" s="55"/>
    </row>
    <row r="761" ht="14.25" customHeight="1">
      <c r="G761" s="55"/>
    </row>
    <row r="762" ht="14.25" customHeight="1">
      <c r="G762" s="55"/>
    </row>
    <row r="763" ht="14.25" customHeight="1">
      <c r="G763" s="55"/>
    </row>
    <row r="764" ht="14.25" customHeight="1">
      <c r="G764" s="55"/>
    </row>
    <row r="765" ht="14.25" customHeight="1">
      <c r="G765" s="55"/>
    </row>
    <row r="766" ht="14.25" customHeight="1">
      <c r="G766" s="55"/>
    </row>
    <row r="767" ht="14.25" customHeight="1">
      <c r="G767" s="55"/>
    </row>
    <row r="768" ht="14.25" customHeight="1">
      <c r="G768" s="55"/>
    </row>
    <row r="769" ht="14.25" customHeight="1">
      <c r="G769" s="55"/>
    </row>
    <row r="770" ht="14.25" customHeight="1">
      <c r="G770" s="55"/>
    </row>
    <row r="771" ht="14.25" customHeight="1">
      <c r="G771" s="55"/>
    </row>
    <row r="772" ht="14.25" customHeight="1">
      <c r="G772" s="55"/>
    </row>
    <row r="773" ht="14.25" customHeight="1">
      <c r="G773" s="55"/>
    </row>
    <row r="774" ht="14.25" customHeight="1">
      <c r="G774" s="55"/>
    </row>
    <row r="775" ht="14.25" customHeight="1">
      <c r="G775" s="55"/>
    </row>
    <row r="776" ht="14.25" customHeight="1">
      <c r="G776" s="55"/>
    </row>
    <row r="777" ht="14.25" customHeight="1">
      <c r="G777" s="55"/>
    </row>
    <row r="778" ht="14.25" customHeight="1">
      <c r="G778" s="55"/>
    </row>
    <row r="779" ht="14.25" customHeight="1">
      <c r="G779" s="55"/>
    </row>
    <row r="780" ht="14.25" customHeight="1">
      <c r="G780" s="55"/>
    </row>
    <row r="781" ht="14.25" customHeight="1">
      <c r="G781" s="55"/>
    </row>
    <row r="782" ht="14.25" customHeight="1">
      <c r="G782" s="55"/>
    </row>
    <row r="783" ht="14.25" customHeight="1">
      <c r="G783" s="55"/>
    </row>
    <row r="784" ht="14.25" customHeight="1">
      <c r="G784" s="55"/>
    </row>
    <row r="785" ht="14.25" customHeight="1">
      <c r="G785" s="55"/>
    </row>
    <row r="786" ht="14.25" customHeight="1">
      <c r="G786" s="55"/>
    </row>
    <row r="787" ht="14.25" customHeight="1">
      <c r="G787" s="55"/>
    </row>
    <row r="788" ht="14.25" customHeight="1">
      <c r="G788" s="55"/>
    </row>
    <row r="789" ht="14.25" customHeight="1">
      <c r="G789" s="55"/>
    </row>
    <row r="790" ht="14.25" customHeight="1">
      <c r="G790" s="55"/>
    </row>
    <row r="791" ht="14.25" customHeight="1">
      <c r="G791" s="55"/>
    </row>
    <row r="792" ht="14.25" customHeight="1">
      <c r="G792" s="55"/>
    </row>
    <row r="793" ht="14.25" customHeight="1">
      <c r="G793" s="55"/>
    </row>
    <row r="794" ht="14.25" customHeight="1">
      <c r="G794" s="55"/>
    </row>
    <row r="795" ht="14.25" customHeight="1">
      <c r="G795" s="55"/>
    </row>
    <row r="796" ht="14.25" customHeight="1">
      <c r="G796" s="55"/>
    </row>
    <row r="797" ht="14.25" customHeight="1">
      <c r="G797" s="55"/>
    </row>
    <row r="798" ht="14.25" customHeight="1">
      <c r="G798" s="55"/>
    </row>
    <row r="799" ht="14.25" customHeight="1">
      <c r="G799" s="55"/>
    </row>
    <row r="800" ht="14.25" customHeight="1">
      <c r="G800" s="55"/>
    </row>
    <row r="801" ht="14.25" customHeight="1">
      <c r="G801" s="55"/>
    </row>
    <row r="802" ht="14.25" customHeight="1">
      <c r="G802" s="55"/>
    </row>
    <row r="803" ht="14.25" customHeight="1">
      <c r="G803" s="55"/>
    </row>
    <row r="804" ht="14.25" customHeight="1">
      <c r="G804" s="55"/>
    </row>
    <row r="805" ht="14.25" customHeight="1">
      <c r="G805" s="55"/>
    </row>
    <row r="806" ht="14.25" customHeight="1">
      <c r="G806" s="55"/>
    </row>
    <row r="807" ht="14.25" customHeight="1">
      <c r="G807" s="55"/>
    </row>
    <row r="808" ht="14.25" customHeight="1">
      <c r="G808" s="55"/>
    </row>
    <row r="809" ht="14.25" customHeight="1">
      <c r="G809" s="55"/>
    </row>
    <row r="810" ht="14.25" customHeight="1">
      <c r="G810" s="55"/>
    </row>
    <row r="811" ht="14.25" customHeight="1">
      <c r="G811" s="55"/>
    </row>
    <row r="812" ht="14.25" customHeight="1">
      <c r="G812" s="55"/>
    </row>
    <row r="813" ht="14.25" customHeight="1">
      <c r="G813" s="55"/>
    </row>
    <row r="814" ht="14.25" customHeight="1">
      <c r="G814" s="55"/>
    </row>
    <row r="815" ht="14.25" customHeight="1">
      <c r="G815" s="55"/>
    </row>
    <row r="816" ht="14.25" customHeight="1">
      <c r="G816" s="55"/>
    </row>
    <row r="817" ht="14.25" customHeight="1">
      <c r="G817" s="55"/>
    </row>
    <row r="818" ht="14.25" customHeight="1">
      <c r="G818" s="55"/>
    </row>
    <row r="819" ht="14.25" customHeight="1">
      <c r="G819" s="55"/>
    </row>
    <row r="820" ht="14.25" customHeight="1">
      <c r="G820" s="55"/>
    </row>
    <row r="821" ht="14.25" customHeight="1">
      <c r="G821" s="55"/>
    </row>
    <row r="822" ht="14.25" customHeight="1">
      <c r="G822" s="55"/>
    </row>
    <row r="823" ht="14.25" customHeight="1">
      <c r="G823" s="55"/>
    </row>
    <row r="824" ht="14.25" customHeight="1">
      <c r="G824" s="55"/>
    </row>
    <row r="825" ht="14.25" customHeight="1">
      <c r="G825" s="55"/>
    </row>
    <row r="826" ht="14.25" customHeight="1">
      <c r="G826" s="55"/>
    </row>
    <row r="827" ht="14.25" customHeight="1">
      <c r="G827" s="55"/>
    </row>
    <row r="828" ht="14.25" customHeight="1">
      <c r="G828" s="55"/>
    </row>
    <row r="829" ht="14.25" customHeight="1">
      <c r="G829" s="55"/>
    </row>
    <row r="830" ht="14.25" customHeight="1">
      <c r="G830" s="55"/>
    </row>
    <row r="831" ht="14.25" customHeight="1">
      <c r="G831" s="55"/>
    </row>
    <row r="832" ht="14.25" customHeight="1">
      <c r="G832" s="55"/>
    </row>
    <row r="833" ht="14.25" customHeight="1">
      <c r="G833" s="55"/>
    </row>
    <row r="834" ht="14.25" customHeight="1">
      <c r="G834" s="55"/>
    </row>
    <row r="835" ht="14.25" customHeight="1">
      <c r="G835" s="55"/>
    </row>
    <row r="836" ht="14.25" customHeight="1">
      <c r="G836" s="55"/>
    </row>
    <row r="837" ht="14.25" customHeight="1">
      <c r="G837" s="55"/>
    </row>
    <row r="838" ht="14.25" customHeight="1">
      <c r="G838" s="55"/>
    </row>
    <row r="839" ht="14.25" customHeight="1">
      <c r="G839" s="55"/>
    </row>
    <row r="840" ht="14.25" customHeight="1">
      <c r="G840" s="55"/>
    </row>
    <row r="841" ht="14.25" customHeight="1">
      <c r="G841" s="55"/>
    </row>
    <row r="842" ht="14.25" customHeight="1">
      <c r="G842" s="55"/>
    </row>
    <row r="843" ht="14.25" customHeight="1">
      <c r="G843" s="55"/>
    </row>
    <row r="844" ht="14.25" customHeight="1">
      <c r="G844" s="55"/>
    </row>
    <row r="845" ht="14.25" customHeight="1">
      <c r="G845" s="55"/>
    </row>
    <row r="846" ht="14.25" customHeight="1">
      <c r="G846" s="55"/>
    </row>
    <row r="847" ht="14.25" customHeight="1">
      <c r="G847" s="55"/>
    </row>
    <row r="848" ht="14.25" customHeight="1">
      <c r="G848" s="55"/>
    </row>
    <row r="849" ht="14.25" customHeight="1">
      <c r="G849" s="55"/>
    </row>
    <row r="850" ht="14.25" customHeight="1">
      <c r="G850" s="55"/>
    </row>
    <row r="851" ht="14.25" customHeight="1">
      <c r="G851" s="55"/>
    </row>
    <row r="852" ht="14.25" customHeight="1">
      <c r="G852" s="55"/>
    </row>
    <row r="853" ht="14.25" customHeight="1">
      <c r="G853" s="55"/>
    </row>
    <row r="854" ht="14.25" customHeight="1">
      <c r="G854" s="55"/>
    </row>
    <row r="855" ht="14.25" customHeight="1">
      <c r="G855" s="55"/>
    </row>
    <row r="856" ht="14.25" customHeight="1">
      <c r="G856" s="55"/>
    </row>
    <row r="857" ht="14.25" customHeight="1">
      <c r="G857" s="55"/>
    </row>
    <row r="858" ht="14.25" customHeight="1">
      <c r="G858" s="55"/>
    </row>
    <row r="859" ht="14.25" customHeight="1">
      <c r="G859" s="55"/>
    </row>
    <row r="860" ht="14.25" customHeight="1">
      <c r="G860" s="55"/>
    </row>
    <row r="861" ht="14.25" customHeight="1">
      <c r="G861" s="55"/>
    </row>
    <row r="862" ht="14.25" customHeight="1">
      <c r="G862" s="55"/>
    </row>
    <row r="863" ht="14.25" customHeight="1">
      <c r="G863" s="55"/>
    </row>
    <row r="864" ht="14.25" customHeight="1">
      <c r="G864" s="55"/>
    </row>
    <row r="865" ht="14.25" customHeight="1">
      <c r="G865" s="55"/>
    </row>
    <row r="866" ht="14.25" customHeight="1">
      <c r="G866" s="55"/>
    </row>
    <row r="867" ht="14.25" customHeight="1">
      <c r="G867" s="55"/>
    </row>
    <row r="868" ht="14.25" customHeight="1">
      <c r="G868" s="55"/>
    </row>
    <row r="869" ht="14.25" customHeight="1">
      <c r="G869" s="55"/>
    </row>
    <row r="870" ht="14.25" customHeight="1">
      <c r="G870" s="55"/>
    </row>
    <row r="871" ht="14.25" customHeight="1">
      <c r="G871" s="55"/>
    </row>
    <row r="872" ht="14.25" customHeight="1">
      <c r="G872" s="55"/>
    </row>
    <row r="873" ht="14.25" customHeight="1">
      <c r="G873" s="55"/>
    </row>
    <row r="874" ht="14.25" customHeight="1">
      <c r="G874" s="55"/>
    </row>
    <row r="875" ht="14.25" customHeight="1">
      <c r="G875" s="55"/>
    </row>
    <row r="876" ht="14.25" customHeight="1">
      <c r="G876" s="55"/>
    </row>
    <row r="877" ht="14.25" customHeight="1">
      <c r="G877" s="55"/>
    </row>
    <row r="878" ht="14.25" customHeight="1">
      <c r="G878" s="55"/>
    </row>
    <row r="879" ht="14.25" customHeight="1">
      <c r="G879" s="55"/>
    </row>
    <row r="880" ht="14.25" customHeight="1">
      <c r="G880" s="55"/>
    </row>
    <row r="881" ht="14.25" customHeight="1">
      <c r="G881" s="55"/>
    </row>
    <row r="882" ht="14.25" customHeight="1">
      <c r="G882" s="55"/>
    </row>
    <row r="883" ht="14.25" customHeight="1">
      <c r="G883" s="55"/>
    </row>
    <row r="884" ht="14.25" customHeight="1">
      <c r="G884" s="55"/>
    </row>
    <row r="885" ht="14.25" customHeight="1">
      <c r="G885" s="55"/>
    </row>
    <row r="886" ht="14.25" customHeight="1">
      <c r="G886" s="55"/>
    </row>
    <row r="887" ht="14.25" customHeight="1">
      <c r="G887" s="55"/>
    </row>
    <row r="888" ht="14.25" customHeight="1">
      <c r="G888" s="55"/>
    </row>
    <row r="889" ht="14.25" customHeight="1">
      <c r="G889" s="55"/>
    </row>
    <row r="890" ht="14.25" customHeight="1">
      <c r="G890" s="55"/>
    </row>
    <row r="891" ht="14.25" customHeight="1">
      <c r="G891" s="55"/>
    </row>
    <row r="892" ht="14.25" customHeight="1">
      <c r="G892" s="55"/>
    </row>
    <row r="893" ht="14.25" customHeight="1">
      <c r="G893" s="55"/>
    </row>
    <row r="894" ht="14.25" customHeight="1">
      <c r="G894" s="55"/>
    </row>
    <row r="895" ht="14.25" customHeight="1">
      <c r="G895" s="55"/>
    </row>
    <row r="896" ht="14.25" customHeight="1">
      <c r="G896" s="55"/>
    </row>
    <row r="897" ht="14.25" customHeight="1">
      <c r="G897" s="55"/>
    </row>
    <row r="898" ht="14.25" customHeight="1">
      <c r="G898" s="55"/>
    </row>
    <row r="899" ht="14.25" customHeight="1">
      <c r="G899" s="55"/>
    </row>
    <row r="900" ht="14.25" customHeight="1">
      <c r="G900" s="55"/>
    </row>
    <row r="901" ht="14.25" customHeight="1">
      <c r="G901" s="55"/>
    </row>
    <row r="902" ht="14.25" customHeight="1">
      <c r="G902" s="55"/>
    </row>
    <row r="903" ht="14.25" customHeight="1">
      <c r="G903" s="55"/>
    </row>
    <row r="904" ht="14.25" customHeight="1">
      <c r="G904" s="55"/>
    </row>
    <row r="905" ht="14.25" customHeight="1">
      <c r="G905" s="55"/>
    </row>
    <row r="906" ht="14.25" customHeight="1">
      <c r="G906" s="55"/>
    </row>
  </sheetData>
  <mergeCells count="5">
    <mergeCell ref="F8:G8"/>
    <mergeCell ref="F10:G10"/>
    <mergeCell ref="B12:B15"/>
    <mergeCell ref="B18:B21"/>
    <mergeCell ref="B23:B24"/>
  </mergeCells>
  <conditionalFormatting sqref="C1">
    <cfRule type="notContainsBlanks" dxfId="8" priority="1">
      <formula>LEN(TRIM(C1))&gt;0</formula>
    </cfRule>
  </conditionalFormatting>
  <dataValidations>
    <dataValidation type="list" allowBlank="1" sqref="C40">
      <formula1>"Gross Margin,Net Margin"</formula1>
    </dataValidation>
    <dataValidation type="list" allowBlank="1" sqref="C3">
      <formula1>"Nómina,Prestación de Servicios,Deel/Ontop"</formula1>
    </dataValidation>
    <dataValidation type="list" allowBlank="1" showErrorMessage="1" sqref="C5">
      <formula1>"Cold Calling,Mercadeo,Directo,Network - Cold Calling,Referido Imagine"</formula1>
    </dataValidation>
    <dataValidation type="list" allowBlank="1" showErrorMessage="1" sqref="D27:D36">
      <formula1>"Nómina,P. Servicios"</formula1>
    </dataValidation>
    <dataValidation type="list" allowBlank="1" sqref="B27:B36">
      <formula1>'Parámetros'!$A$2:$A$113</formula1>
    </dataValidation>
    <dataValidation type="list" allowBlank="1" sqref="C2">
      <formula1>'Parámetros'!$A$118:$A$123</formula1>
    </dataValidation>
    <dataValidation type="list" allowBlank="1" sqref="C6">
      <formula1>"Perfil Sr.,Perfil Semi senior,Perfil Jr."</formula1>
    </dataValidation>
    <dataValidation type="list" allowBlank="1" sqref="D40">
      <formula1>"COP,USD"</formula1>
    </dataValidation>
  </dataValidations>
  <printOptions/>
  <pageMargins bottom="0.75" footer="0.0" header="0.0" left="0.7" right="0.7" top="0.75"/>
  <pageSetup orientation="portrait"/>
  <drawing r:id="rId1"/>
  <tableParts count="3"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4.14"/>
    <col customWidth="1" min="2" max="2" width="38.43"/>
    <col customWidth="1" min="3" max="3" width="23.14"/>
    <col customWidth="1" min="4" max="4" width="16.29"/>
    <col customWidth="1" min="5" max="5" width="14.86"/>
    <col customWidth="1" min="6" max="6" width="18.0"/>
    <col customWidth="1" min="7" max="7" width="16.29"/>
    <col customWidth="1" min="8" max="8" width="16.14"/>
    <col customWidth="1" min="9" max="9" width="12.0"/>
    <col customWidth="1" min="10" max="10" width="26.57"/>
    <col customWidth="1" min="11" max="11" width="14.86"/>
    <col customWidth="1" min="12" max="12" width="14.71"/>
    <col customWidth="1" min="13" max="13" width="17.29"/>
    <col customWidth="1" min="14" max="14" width="15.57"/>
    <col customWidth="1" min="15" max="15" width="10.71"/>
    <col customWidth="1" min="16" max="16" width="23.14"/>
    <col customWidth="1" min="17" max="17" width="17.57"/>
    <col customWidth="1" min="18" max="18" width="15.71"/>
    <col customWidth="1" min="19" max="19" width="18.86"/>
    <col customWidth="1" hidden="1" min="20" max="20" width="13.71"/>
    <col customWidth="1" hidden="1" min="21" max="21" width="13.43"/>
    <col customWidth="1" hidden="1" min="22" max="32" width="10.71"/>
  </cols>
  <sheetData>
    <row r="1" ht="8.25" customHeight="1">
      <c r="A1" s="200"/>
      <c r="B1" s="200"/>
      <c r="C1" s="200"/>
      <c r="D1" s="200"/>
      <c r="E1" s="200"/>
      <c r="F1" s="200"/>
      <c r="G1" s="201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</row>
    <row r="2" ht="15.75" customHeight="1">
      <c r="A2" s="200"/>
      <c r="B2" s="202" t="s">
        <v>150</v>
      </c>
      <c r="C2" s="203" t="s">
        <v>94</v>
      </c>
      <c r="D2" s="204"/>
      <c r="E2" s="200"/>
      <c r="F2" s="200"/>
      <c r="G2" s="205"/>
      <c r="H2" s="206"/>
      <c r="I2" s="206"/>
      <c r="J2" s="207"/>
      <c r="K2" s="206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0"/>
      <c r="AD2" s="200"/>
      <c r="AE2" s="200"/>
      <c r="AF2" s="200"/>
    </row>
    <row r="3" ht="15.75" customHeight="1">
      <c r="A3" s="200"/>
      <c r="B3" s="202" t="s">
        <v>25</v>
      </c>
      <c r="C3" s="208" t="s">
        <v>151</v>
      </c>
      <c r="D3" s="16"/>
      <c r="E3" s="200"/>
      <c r="F3" s="209"/>
      <c r="G3" s="210"/>
      <c r="H3" s="200"/>
      <c r="I3" s="200"/>
      <c r="J3" s="211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200"/>
    </row>
    <row r="4" ht="15.75" customHeight="1">
      <c r="A4" s="200"/>
      <c r="B4" s="202" t="s">
        <v>152</v>
      </c>
      <c r="C4" s="212">
        <v>0.05</v>
      </c>
      <c r="D4" s="16"/>
      <c r="E4" s="200"/>
      <c r="H4" s="200"/>
      <c r="I4" s="200"/>
      <c r="J4" s="211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</row>
    <row r="5" ht="15.75" customHeight="1">
      <c r="A5" s="200"/>
      <c r="B5" s="213" t="s">
        <v>153</v>
      </c>
      <c r="C5" s="214" t="s">
        <v>134</v>
      </c>
      <c r="D5" s="16"/>
      <c r="F5" s="90"/>
      <c r="G5" s="215"/>
      <c r="I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</row>
    <row r="6" ht="15.75" customHeight="1">
      <c r="A6" s="200"/>
      <c r="B6" s="202" t="s">
        <v>154</v>
      </c>
      <c r="C6" s="214" t="s">
        <v>148</v>
      </c>
      <c r="D6" s="216"/>
      <c r="F6" s="217"/>
      <c r="G6" s="215"/>
      <c r="I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0"/>
      <c r="AA6" s="200"/>
      <c r="AB6" s="200"/>
      <c r="AC6" s="200"/>
      <c r="AD6" s="200"/>
      <c r="AE6" s="200"/>
      <c r="AF6" s="200"/>
    </row>
    <row r="7" ht="15.75" customHeight="1">
      <c r="A7" s="200"/>
      <c r="B7" s="202" t="s">
        <v>28</v>
      </c>
      <c r="C7" s="218">
        <v>0.0</v>
      </c>
      <c r="D7" s="216"/>
      <c r="F7" s="219" t="s">
        <v>155</v>
      </c>
      <c r="G7" s="220">
        <f>VLOOKUP($C$2,'Parámetros'!$A$118:$D$124,3,0)</f>
        <v>0.4</v>
      </c>
      <c r="I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  <c r="AA7" s="200"/>
      <c r="AB7" s="200"/>
      <c r="AC7" s="200"/>
      <c r="AD7" s="200"/>
      <c r="AE7" s="200"/>
      <c r="AF7" s="200"/>
    </row>
    <row r="8" ht="15.75" customHeight="1">
      <c r="A8" s="200"/>
      <c r="B8" s="202" t="s">
        <v>156</v>
      </c>
      <c r="C8" s="218">
        <v>0.0</v>
      </c>
      <c r="D8" s="204"/>
      <c r="F8" s="221" t="str">
        <f>IF(D13&gt;=G7,"Dentro del margen","¡Por debajo del margen!")</f>
        <v>¡Por debajo del margen!</v>
      </c>
      <c r="I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</row>
    <row r="9" ht="15.75" customHeight="1">
      <c r="A9" s="200"/>
      <c r="B9" s="202" t="s">
        <v>157</v>
      </c>
      <c r="C9" s="222"/>
      <c r="D9" s="204"/>
      <c r="E9" s="200"/>
      <c r="H9" s="200"/>
      <c r="I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200"/>
      <c r="AC9" s="200"/>
      <c r="AD9" s="200"/>
      <c r="AE9" s="200"/>
      <c r="AF9" s="200"/>
    </row>
    <row r="10" ht="15.75" customHeight="1">
      <c r="A10" s="200"/>
      <c r="B10" s="202" t="s">
        <v>158</v>
      </c>
      <c r="C10" s="208">
        <v>4.0</v>
      </c>
      <c r="D10" s="16"/>
      <c r="E10" s="200"/>
      <c r="H10" s="201"/>
      <c r="I10" s="223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</row>
    <row r="11" ht="15.75" customHeight="1">
      <c r="A11" s="200"/>
      <c r="B11" s="224"/>
      <c r="C11" s="16"/>
      <c r="D11" s="16"/>
      <c r="E11" s="200"/>
      <c r="F11" s="202" t="s">
        <v>44</v>
      </c>
      <c r="G11" s="225" t="s">
        <v>45</v>
      </c>
      <c r="H11" s="223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</row>
    <row r="12" ht="18.75" customHeight="1">
      <c r="B12" s="226" t="s">
        <v>7</v>
      </c>
      <c r="C12" s="17" t="s">
        <v>6</v>
      </c>
      <c r="D12" s="227">
        <f>F12*C4+IFS(C5="Cold Calling",2%*138.3522%,C5="Mercadeo",2%*101%,C5="Network - Cold Calling",2%*138.3522%,C5="Referido Imagine",5%*138.3522%,C5="Directo",0)*F12+ifs(AND(C6="Perfil Jr.",C2="Network"),200000,AND(C6="Perfil Sr.",C2="Network"),350000,AND(C2="Network",C6="Perfil Semi Senior"), 600000,C2="Proyecto",1,C2="Equipo dedicado",1,C2="Servidores",1,C2="Enterprise",1,C2="Descubrimiento",1)</f>
        <v>4370968.742</v>
      </c>
      <c r="E12" s="228" t="s">
        <v>159</v>
      </c>
      <c r="F12" s="229">
        <f>((C61+C57+C59)/((1-D13-'Parámetros'!L8*C7)))*IF(C8=1,102.4%,1)</f>
        <v>87419354.84</v>
      </c>
      <c r="G12" s="230">
        <f>F12/'Parámetros'!$L$3</f>
        <v>24625.17038</v>
      </c>
      <c r="H12" s="211"/>
      <c r="I12" s="15">
        <v>160.0</v>
      </c>
      <c r="J12" s="15">
        <v>1.0</v>
      </c>
      <c r="M12" s="23"/>
      <c r="N12" s="24"/>
      <c r="O12" s="24"/>
    </row>
    <row r="13" ht="18.75" customHeight="1">
      <c r="B13" s="27"/>
      <c r="C13" s="17" t="s">
        <v>9</v>
      </c>
      <c r="D13" s="231">
        <v>0.38</v>
      </c>
      <c r="E13" s="228" t="s">
        <v>160</v>
      </c>
      <c r="F13" s="229">
        <f>F12/C10</f>
        <v>21854838.71</v>
      </c>
      <c r="G13" s="230">
        <f>F13/'Parámetros'!$L$3</f>
        <v>6156.292594</v>
      </c>
      <c r="I13" s="15">
        <v>12.0</v>
      </c>
      <c r="J13" s="232">
        <f>I13*J12/I12</f>
        <v>0.075</v>
      </c>
      <c r="M13" s="23"/>
      <c r="N13" s="24"/>
      <c r="O13" s="24"/>
    </row>
    <row r="14" ht="18.75" customHeight="1">
      <c r="B14" s="27"/>
      <c r="C14" s="17" t="s">
        <v>15</v>
      </c>
      <c r="D14" s="227">
        <f>F12*'Parámetros'!L5</f>
        <v>603193.5484</v>
      </c>
      <c r="E14" s="228" t="s">
        <v>161</v>
      </c>
      <c r="F14" s="229">
        <f>F12/SUM(D43:D52)/C10</f>
        <v>60707.8853</v>
      </c>
      <c r="G14" s="230">
        <f>G12/SUM(D43:D52)/C10</f>
        <v>17.10081276</v>
      </c>
      <c r="L14" s="22"/>
      <c r="O14" s="28"/>
      <c r="P14" s="28"/>
      <c r="Q14" s="28"/>
    </row>
    <row r="15" ht="14.25" customHeight="1">
      <c r="B15" s="43"/>
      <c r="C15" s="17" t="s">
        <v>18</v>
      </c>
      <c r="D15" s="233">
        <f>(F12-C62-D14-D12-C7*'Parámetros'!L8*F12-IF(C8=1,2.4%,0)*F12)/F12</f>
        <v>0.1065146708</v>
      </c>
      <c r="F15" s="23"/>
      <c r="G15" s="55"/>
      <c r="I15" s="15" t="s">
        <v>162</v>
      </c>
      <c r="J15" s="234">
        <v>3127889.861152942</v>
      </c>
      <c r="L15" s="32"/>
      <c r="M15" s="33"/>
      <c r="O15" s="28"/>
      <c r="P15" s="28"/>
      <c r="Q15" s="28"/>
    </row>
    <row r="16" ht="14.25" customHeight="1">
      <c r="D16" s="235"/>
      <c r="F16" s="236"/>
      <c r="G16" s="55"/>
      <c r="H16" s="237"/>
      <c r="I16" s="238" t="s">
        <v>163</v>
      </c>
      <c r="J16" s="239">
        <v>5044796.574575055</v>
      </c>
      <c r="L16" s="32"/>
      <c r="M16" s="37"/>
      <c r="N16" s="38"/>
      <c r="O16" s="39"/>
    </row>
    <row r="17" ht="14.25" customHeight="1" collapsed="1">
      <c r="F17" s="236"/>
      <c r="G17" s="55"/>
      <c r="L17" s="22"/>
    </row>
    <row r="18" ht="15.75" hidden="1" customHeight="1" outlineLevel="1">
      <c r="B18" s="226" t="s">
        <v>22</v>
      </c>
      <c r="C18" s="17" t="s">
        <v>6</v>
      </c>
      <c r="D18" s="227">
        <f>F18*C4+IFS(C5="Cold Calling",2%*138.3522%,C5="Mercadeo",2%*101%,C5="Network - Cold Calling",2%*138.3522%,C5="Referido Imagine",5%*138.3522%,C5="Directo",0)*F18</f>
        <v>4920855.117</v>
      </c>
      <c r="E18" s="228" t="s">
        <v>159</v>
      </c>
      <c r="F18" s="229">
        <f>+C62/((1-IFS(C5="Cold Calling",2%*138.3522%,C5="Mercadeo",2%*101%,C5="Network - Cold Calling",2%*138.3522%,C5="Referido Imagine",5%*138.3522%,C5="Directo",0)-C4-D19-'Parámetros'!L5-C7*'Parámetros'!L8))*IF(C8=1,102.4%,1)</f>
        <v>98417102.33</v>
      </c>
      <c r="G18" s="230">
        <f>F18/'Parámetros'!L3</f>
        <v>27723.12742</v>
      </c>
      <c r="L18" s="22"/>
    </row>
    <row r="19" ht="16.5" hidden="1" customHeight="1" outlineLevel="1">
      <c r="B19" s="27"/>
      <c r="C19" s="17" t="s">
        <v>18</v>
      </c>
      <c r="D19" s="231">
        <v>0.2</v>
      </c>
      <c r="E19" s="228" t="s">
        <v>160</v>
      </c>
      <c r="F19" s="229">
        <f>F18/C10</f>
        <v>24604275.58</v>
      </c>
      <c r="G19" s="230">
        <f>G18/C10</f>
        <v>6930.781854</v>
      </c>
      <c r="L19" s="32"/>
      <c r="M19" s="33"/>
    </row>
    <row r="20" ht="17.25" hidden="1" customHeight="1" outlineLevel="1">
      <c r="B20" s="27"/>
      <c r="C20" s="17" t="s">
        <v>15</v>
      </c>
      <c r="D20" s="227">
        <f>F18*'Parámetros'!L5</f>
        <v>679078.0061</v>
      </c>
      <c r="E20" s="228" t="s">
        <v>161</v>
      </c>
      <c r="F20" s="229">
        <f>F18/SUM(D43:D52)/C10</f>
        <v>68345.20995</v>
      </c>
      <c r="G20" s="230">
        <f>G18/SUM(D43:D52)/C10</f>
        <v>19.25217182</v>
      </c>
      <c r="L20" s="22"/>
      <c r="M20" s="55"/>
    </row>
    <row r="21" ht="14.25" hidden="1" customHeight="1" outlineLevel="1">
      <c r="B21" s="43"/>
      <c r="C21" s="17" t="s">
        <v>9</v>
      </c>
      <c r="D21" s="240">
        <f>(((F18-C57-C59-C61-C7*'Parámetros'!L8*F18)-IF(C8=1,2.4%,0)*F18)/F18)</f>
        <v>0.4492827088</v>
      </c>
      <c r="E21" s="241"/>
      <c r="G21" s="55"/>
    </row>
    <row r="22" ht="14.25" customHeight="1">
      <c r="D22" s="55"/>
      <c r="E22" s="23"/>
      <c r="F22" s="242"/>
      <c r="G22" s="55"/>
    </row>
    <row r="23" ht="14.25" customHeight="1">
      <c r="B23" s="243" t="str">
        <f>'Parámetros'!B149</f>
        <v>Considerar como mínimo por cada Dev: 
 PM:33%, QA:20%, Diseño:10%</v>
      </c>
      <c r="C23" s="244"/>
      <c r="G23" s="55"/>
      <c r="M23" s="245"/>
    </row>
    <row r="24" ht="15.75" customHeight="1">
      <c r="B24" s="246"/>
      <c r="C24" s="244"/>
      <c r="G24" s="55"/>
    </row>
    <row r="25" ht="15.75" customHeight="1">
      <c r="E25" s="247">
        <f>SUM(E27:E34)</f>
        <v>2</v>
      </c>
      <c r="G25" s="248"/>
    </row>
    <row r="26" ht="14.25" customHeight="1">
      <c r="B26" s="249" t="s">
        <v>31</v>
      </c>
      <c r="C26" s="249" t="s">
        <v>32</v>
      </c>
      <c r="D26" s="249" t="s">
        <v>33</v>
      </c>
      <c r="E26" s="250" t="s">
        <v>35</v>
      </c>
      <c r="F26" s="250" t="s">
        <v>164</v>
      </c>
      <c r="G26" s="250" t="s">
        <v>165</v>
      </c>
      <c r="H26" s="250" t="s">
        <v>37</v>
      </c>
      <c r="I26" s="146"/>
      <c r="J26" s="146"/>
      <c r="L26" s="67"/>
    </row>
    <row r="27" ht="14.25" customHeight="1">
      <c r="A27" s="251">
        <f>IFERROR(__xludf.DUMMYFUNCTION("COUNTIF(SPLIT(B27,"" ""),""Developer"")"),0.0)</f>
        <v>0</v>
      </c>
      <c r="B27" s="252" t="s">
        <v>64</v>
      </c>
      <c r="C27" s="68">
        <f>IFERROR(VLOOKUP(B27,'Parámetros'!A$1:B113,2, FALSE),"")</f>
        <v>5000000</v>
      </c>
      <c r="D27" s="208" t="s">
        <v>166</v>
      </c>
      <c r="E27" s="253">
        <v>0.5</v>
      </c>
      <c r="F27" s="68">
        <f t="shared" ref="F27:F29" si="1">+IFERROR(IF(D27="Nómina",C27*1.38352,C27),"")*E27</f>
        <v>2500000</v>
      </c>
      <c r="G27" s="68">
        <f t="shared" ref="G27:G30" si="2">F27*C$10</f>
        <v>10000000</v>
      </c>
      <c r="H27" s="254">
        <f>F27/(AVERAGE('Parámetros'!$F$5:$F$6)+$F$37)</f>
        <v>0.007194104728</v>
      </c>
      <c r="I27" s="146"/>
      <c r="J27" s="146"/>
      <c r="L27" s="73"/>
    </row>
    <row r="28" ht="14.25" customHeight="1">
      <c r="A28" s="251">
        <f>IFERROR(__xludf.DUMMYFUNCTION("COUNTIF(SPLIT(B28,"" ""),""Developer"")"),0.0)</f>
        <v>0</v>
      </c>
      <c r="B28" s="255" t="s">
        <v>59</v>
      </c>
      <c r="C28" s="68">
        <f>IFERROR(VLOOKUP(B28,'Parámetros'!A$1:B114,2, FALSE),"")</f>
        <v>7000000</v>
      </c>
      <c r="D28" s="208" t="s">
        <v>166</v>
      </c>
      <c r="E28" s="256">
        <v>1.0</v>
      </c>
      <c r="F28" s="68">
        <f t="shared" si="1"/>
        <v>7000000</v>
      </c>
      <c r="G28" s="68">
        <f t="shared" si="2"/>
        <v>28000000</v>
      </c>
      <c r="H28" s="254">
        <f>G28/(AVERAGE('Parámetros'!$F$5:$F$6)+$F$37)</f>
        <v>0.08057397296</v>
      </c>
      <c r="I28" s="146"/>
      <c r="J28" s="146"/>
      <c r="L28" s="73"/>
      <c r="R28" s="74"/>
    </row>
    <row r="29" ht="14.25" customHeight="1">
      <c r="A29" s="251">
        <f>IFERROR(__xludf.DUMMYFUNCTION("COUNTIF(SPLIT(B29,"" ""),""Developer"")"),0.0)</f>
        <v>0</v>
      </c>
      <c r="B29" s="255" t="s">
        <v>69</v>
      </c>
      <c r="C29" s="68">
        <f>IFERROR(VLOOKUP(B29,'Parámetros'!A$1:B115,2, FALSE),"")</f>
        <v>10000000</v>
      </c>
      <c r="D29" s="208" t="s">
        <v>166</v>
      </c>
      <c r="E29" s="256">
        <v>0.3</v>
      </c>
      <c r="F29" s="68">
        <f t="shared" si="1"/>
        <v>3000000</v>
      </c>
      <c r="G29" s="68">
        <f t="shared" si="2"/>
        <v>12000000</v>
      </c>
      <c r="H29" s="254">
        <f>G29/(AVERAGE('Parámetros'!$F$5:$F$6)+$F$37)</f>
        <v>0.0345317027</v>
      </c>
      <c r="I29" s="146"/>
      <c r="J29" s="146"/>
      <c r="L29" s="73"/>
    </row>
    <row r="30" ht="14.25" customHeight="1">
      <c r="A30" s="251">
        <f>IFERROR(__xludf.DUMMYFUNCTION("COUNTIF(SPLIT(B30,"" ""),""Developer"")"),0.0)</f>
        <v>0</v>
      </c>
      <c r="B30" s="255" t="s">
        <v>55</v>
      </c>
      <c r="C30" s="68">
        <f>IFERROR(VLOOKUP(B30,'Parámetros'!A$1:B116,2, FALSE),"")</f>
        <v>5000000</v>
      </c>
      <c r="D30" s="208" t="s">
        <v>166</v>
      </c>
      <c r="E30" s="257">
        <v>0.2</v>
      </c>
      <c r="F30" s="68">
        <f>+IFERROR(IF(D30="Nómina",C30*1.38352,C30),"")*E30*105%</f>
        <v>1050000</v>
      </c>
      <c r="G30" s="68">
        <f t="shared" si="2"/>
        <v>4200000</v>
      </c>
      <c r="H30" s="254">
        <f>G30/(AVERAGE('Parámetros'!$F$5:$F$6)+$F$37)</f>
        <v>0.01208609594</v>
      </c>
      <c r="I30" s="146"/>
      <c r="J30" s="146"/>
      <c r="L30" s="73"/>
    </row>
    <row r="31" ht="14.25" customHeight="1">
      <c r="A31" s="251">
        <f>IFERROR(__xludf.DUMMYFUNCTION("COUNTIF(SPLIT(B31,"" ""),""Developer"")"),0.0)</f>
        <v>0</v>
      </c>
      <c r="B31" s="252"/>
      <c r="C31" s="68"/>
      <c r="D31" s="208"/>
      <c r="E31" s="253"/>
      <c r="F31" s="68"/>
      <c r="G31" s="68"/>
      <c r="H31" s="254"/>
      <c r="I31" s="146"/>
      <c r="J31" s="146"/>
      <c r="L31" s="73"/>
    </row>
    <row r="32" ht="14.25" customHeight="1">
      <c r="A32" s="251">
        <f>IFERROR(__xludf.DUMMYFUNCTION("COUNTIF(SPLIT(B32,"" ""),""Developer"")"),0.0)</f>
        <v>0</v>
      </c>
      <c r="B32" s="255"/>
      <c r="C32" s="68"/>
      <c r="D32" s="208"/>
      <c r="E32" s="256"/>
      <c r="F32" s="68">
        <f t="shared" ref="F32:F36" si="3">+IFERROR(IF(D32="Nómina",C32*1.38352,C32),"")*E32*105%</f>
        <v>0</v>
      </c>
      <c r="G32" s="68">
        <f t="shared" ref="G32:G36" si="4">F32*C$10</f>
        <v>0</v>
      </c>
      <c r="H32" s="254">
        <f>G32/(AVERAGE('Parámetros'!$F$5:$F$6)+$F$37)</f>
        <v>0</v>
      </c>
      <c r="I32" s="146"/>
      <c r="J32" s="146"/>
      <c r="K32" s="146"/>
    </row>
    <row r="33" ht="14.25" customHeight="1">
      <c r="A33" s="251">
        <f>IFERROR(__xludf.DUMMYFUNCTION("COUNTIF(SPLIT(B33,"" ""),""Developer"")"),0.0)</f>
        <v>0</v>
      </c>
      <c r="B33" s="255"/>
      <c r="C33" s="68"/>
      <c r="D33" s="208"/>
      <c r="E33" s="258"/>
      <c r="F33" s="68">
        <f t="shared" si="3"/>
        <v>0</v>
      </c>
      <c r="G33" s="68">
        <f t="shared" si="4"/>
        <v>0</v>
      </c>
      <c r="H33" s="254">
        <f>G33/(AVERAGE('Parámetros'!$F$5:$F$6)+$F$37)</f>
        <v>0</v>
      </c>
      <c r="I33" s="146"/>
      <c r="J33" s="146"/>
      <c r="K33" s="146"/>
    </row>
    <row r="34" ht="14.25" customHeight="1">
      <c r="A34" s="251">
        <f>IFERROR(__xludf.DUMMYFUNCTION("COUNTIF(SPLIT(B34,"" ""),""Developer"")"),0.0)</f>
        <v>0</v>
      </c>
      <c r="B34" s="255"/>
      <c r="C34" s="68" t="str">
        <f>IFERROR(VLOOKUP(B34,'Parámetros'!A$1:B120,2, FALSE),"")</f>
        <v/>
      </c>
      <c r="D34" s="208"/>
      <c r="E34" s="258"/>
      <c r="F34" s="68">
        <f t="shared" si="3"/>
        <v>0</v>
      </c>
      <c r="G34" s="68">
        <f t="shared" si="4"/>
        <v>0</v>
      </c>
      <c r="H34" s="254">
        <f>G34/(AVERAGE('Parámetros'!$F$5:$F$6)+$F$37)</f>
        <v>0</v>
      </c>
      <c r="I34" s="146"/>
      <c r="J34" s="146"/>
      <c r="K34" s="146"/>
    </row>
    <row r="35" ht="14.25" customHeight="1">
      <c r="A35" s="251"/>
      <c r="B35" s="252"/>
      <c r="C35" s="68" t="str">
        <f>IFERROR(VLOOKUP(B35,'Parámetros'!A$1:B121,2, FALSE),"")</f>
        <v/>
      </c>
      <c r="D35" s="208"/>
      <c r="E35" s="258"/>
      <c r="F35" s="68">
        <f t="shared" si="3"/>
        <v>0</v>
      </c>
      <c r="G35" s="68">
        <f t="shared" si="4"/>
        <v>0</v>
      </c>
      <c r="H35" s="254">
        <f>G35/(AVERAGE('Parámetros'!$F$5:$F$6)+$F$37)</f>
        <v>0</v>
      </c>
      <c r="I35" s="146"/>
      <c r="J35" s="146"/>
      <c r="K35" s="146"/>
    </row>
    <row r="36" ht="14.25" customHeight="1">
      <c r="A36" s="251"/>
      <c r="B36" s="255"/>
      <c r="C36" s="68" t="str">
        <f>IFERROR(VLOOKUP(B36,'Parámetros'!A$1:B122,2, FALSE),"")</f>
        <v/>
      </c>
      <c r="D36" s="208"/>
      <c r="E36" s="258"/>
      <c r="F36" s="68">
        <f t="shared" si="3"/>
        <v>0</v>
      </c>
      <c r="G36" s="68">
        <f t="shared" si="4"/>
        <v>0</v>
      </c>
      <c r="H36" s="254">
        <f>G36/(AVERAGE('Parámetros'!$F$5:$F$6)+$F$37)</f>
        <v>0</v>
      </c>
      <c r="I36" s="146"/>
      <c r="J36" s="146"/>
      <c r="K36" s="146"/>
    </row>
    <row r="37" ht="14.25" customHeight="1">
      <c r="F37" s="259">
        <f t="shared" ref="F37:H37" si="5">SUM(F27:F36)</f>
        <v>13550000</v>
      </c>
      <c r="G37" s="259">
        <f t="shared" si="5"/>
        <v>54200000</v>
      </c>
      <c r="H37" s="260">
        <f t="shared" si="5"/>
        <v>0.1343858763</v>
      </c>
      <c r="M37" s="90"/>
      <c r="N37" s="91"/>
      <c r="O37" s="92"/>
      <c r="P37" s="93"/>
      <c r="Q37" s="94"/>
    </row>
    <row r="38" ht="14.25" customHeight="1">
      <c r="G38" s="55"/>
    </row>
    <row r="39" ht="14.25" customHeight="1">
      <c r="G39" s="55"/>
    </row>
    <row r="40" ht="14.25" customHeight="1">
      <c r="C40" s="261" t="s">
        <v>9</v>
      </c>
      <c r="D40" s="261" t="s">
        <v>45</v>
      </c>
      <c r="G40" s="55"/>
    </row>
    <row r="41" ht="14.25" customHeight="1">
      <c r="F41" s="97"/>
      <c r="G41" s="55"/>
    </row>
    <row r="42" ht="14.25" customHeight="1">
      <c r="B42" s="262" t="s">
        <v>31</v>
      </c>
      <c r="C42" s="261" t="s">
        <v>35</v>
      </c>
      <c r="D42" s="263" t="s">
        <v>48</v>
      </c>
      <c r="E42" s="261" t="s">
        <v>50</v>
      </c>
      <c r="F42" s="261" t="s">
        <v>159</v>
      </c>
      <c r="G42" s="55"/>
    </row>
    <row r="43" ht="14.25" customHeight="1">
      <c r="B43" s="264" t="str">
        <f t="shared" ref="B43:B52" si="6">B27</f>
        <v>Forward Deployed Pruduct experience</v>
      </c>
      <c r="C43" s="265">
        <f t="shared" ref="C43:C52" si="7">E27</f>
        <v>0.5</v>
      </c>
      <c r="D43" s="266">
        <f t="shared" ref="D43:D52" si="8">C43*180</f>
        <v>90</v>
      </c>
      <c r="E43" s="267">
        <f>IFERROR((IF($C$40="Gross Margin",F27/$F$37*$F$12,IF($C$40="Net Margin",F27/$F$37*$F$18,"Error")))/D43,"")/IF($D$40="USD",'Parámetros'!$L$3,1)/$C$10</f>
        <v>12.62052602</v>
      </c>
      <c r="F43" s="267">
        <f t="shared" ref="F43:F52" si="9">E43*D43</f>
        <v>1135.847342</v>
      </c>
      <c r="G43" s="55"/>
    </row>
    <row r="44" ht="14.25" customHeight="1">
      <c r="B44" s="264" t="str">
        <f t="shared" si="6"/>
        <v>Forward Deployed Enginnier</v>
      </c>
      <c r="C44" s="265">
        <f t="shared" si="7"/>
        <v>1</v>
      </c>
      <c r="D44" s="266">
        <f t="shared" si="8"/>
        <v>180</v>
      </c>
      <c r="E44" s="267">
        <f>IFERROR((IF($C$40="Gross Margin",F28/$F$37*$F$12,IF($C$40="Net Margin",F28/$F$37*$F$18,"Error")))/D44,"")/IF($D$40="USD",'Parámetros'!$L$3,1)/$C$10</f>
        <v>17.66873643</v>
      </c>
      <c r="F44" s="267">
        <f t="shared" si="9"/>
        <v>3180.372558</v>
      </c>
      <c r="G44" s="55"/>
    </row>
    <row r="45" ht="14.25" customHeight="1">
      <c r="B45" s="264" t="str">
        <f t="shared" si="6"/>
        <v>Tech Leald Orchestaror</v>
      </c>
      <c r="C45" s="265">
        <f t="shared" si="7"/>
        <v>0.3</v>
      </c>
      <c r="D45" s="266">
        <f t="shared" si="8"/>
        <v>54</v>
      </c>
      <c r="E45" s="267">
        <f>IFERROR((IF($C$40="Gross Margin",F29/$F$37*$F$12,IF($C$40="Net Margin",F29/$F$37*$F$18,"Error")))/D45,"")/IF($D$40="USD",'Parámetros'!$L$3,1)/$C$10</f>
        <v>25.24105205</v>
      </c>
      <c r="F45" s="267">
        <f t="shared" si="9"/>
        <v>1363.016811</v>
      </c>
      <c r="G45" s="23"/>
    </row>
    <row r="46" ht="14.25" customHeight="1">
      <c r="B46" s="264" t="str">
        <f t="shared" si="6"/>
        <v>Forward Deployed Product manager</v>
      </c>
      <c r="C46" s="265">
        <f t="shared" si="7"/>
        <v>0.2</v>
      </c>
      <c r="D46" s="266">
        <f t="shared" si="8"/>
        <v>36</v>
      </c>
      <c r="E46" s="267">
        <f>IFERROR((IF($C$40="Gross Margin",F30/$F$37*$F$12,IF($C$40="Net Margin",F30/$F$37*$F$18,"Error")))/D46,"")/IF($D$40="USD",'Parámetros'!$L$3,1)/$C$10</f>
        <v>13.25155232</v>
      </c>
      <c r="F46" s="267">
        <f t="shared" si="9"/>
        <v>477.0558837</v>
      </c>
      <c r="G46" s="23"/>
    </row>
    <row r="47" ht="14.25" customHeight="1">
      <c r="B47" s="264" t="str">
        <f t="shared" si="6"/>
        <v/>
      </c>
      <c r="C47" s="265" t="str">
        <f t="shared" si="7"/>
        <v/>
      </c>
      <c r="D47" s="266">
        <f t="shared" si="8"/>
        <v>0</v>
      </c>
      <c r="E47" s="267">
        <f>IFERROR((IF($C$40="Gross Margin",F31/$F$37*$F$12,IF($C$40="Net Margin",F31/$F$37*$F$18,"Error")))/D47,"")/IF($D$40="USD",'Parámetros'!$L$3,1)/$C$10</f>
        <v>0</v>
      </c>
      <c r="F47" s="267">
        <f t="shared" si="9"/>
        <v>0</v>
      </c>
      <c r="G47" s="55"/>
    </row>
    <row r="48" ht="14.25" customHeight="1">
      <c r="B48" s="264" t="str">
        <f t="shared" si="6"/>
        <v/>
      </c>
      <c r="C48" s="265" t="str">
        <f t="shared" si="7"/>
        <v/>
      </c>
      <c r="D48" s="266">
        <f t="shared" si="8"/>
        <v>0</v>
      </c>
      <c r="E48" s="267">
        <f>IFERROR((IF($C$40="Gross Margin",F32/$F$37*$F$12,IF($C$40="Net Margin",F32/$F$37*$F$18,"Error")))/D48,"")/IF($D$40="USD",'Parámetros'!$L$3,1)</f>
        <v>0</v>
      </c>
      <c r="F48" s="267">
        <f t="shared" si="9"/>
        <v>0</v>
      </c>
      <c r="G48" s="55"/>
    </row>
    <row r="49" ht="14.25" customHeight="1">
      <c r="B49" s="264" t="str">
        <f t="shared" si="6"/>
        <v/>
      </c>
      <c r="C49" s="265" t="str">
        <f t="shared" si="7"/>
        <v/>
      </c>
      <c r="D49" s="266">
        <f t="shared" si="8"/>
        <v>0</v>
      </c>
      <c r="E49" s="267">
        <f>IFERROR((IF($C$40="Gross Margin",F33/$F$37*$F$12,IF($C$40="Net Margin",F33/$F$37*$F$18,"Error")))/D49,"")/IF($D$40="USD",'Parámetros'!$L$3,1)</f>
        <v>0</v>
      </c>
      <c r="F49" s="267">
        <f t="shared" si="9"/>
        <v>0</v>
      </c>
      <c r="G49" s="55"/>
    </row>
    <row r="50" ht="14.25" customHeight="1">
      <c r="B50" s="264" t="str">
        <f t="shared" si="6"/>
        <v/>
      </c>
      <c r="C50" s="265" t="str">
        <f t="shared" si="7"/>
        <v/>
      </c>
      <c r="D50" s="266">
        <f t="shared" si="8"/>
        <v>0</v>
      </c>
      <c r="E50" s="267">
        <f>IFERROR((IF($C$40="Gross Margin",F34/$F$37*$F$12,IF($C$40="Net Margin",F34/$F$37*$F$18,"Error")))/D50,"")/IF($D$40="USD",'Parámetros'!$L$3,1)</f>
        <v>0</v>
      </c>
      <c r="F50" s="267">
        <f t="shared" si="9"/>
        <v>0</v>
      </c>
      <c r="G50" s="55"/>
    </row>
    <row r="51" ht="14.25" customHeight="1">
      <c r="B51" s="264" t="str">
        <f t="shared" si="6"/>
        <v/>
      </c>
      <c r="C51" s="265" t="str">
        <f t="shared" si="7"/>
        <v/>
      </c>
      <c r="D51" s="266">
        <f t="shared" si="8"/>
        <v>0</v>
      </c>
      <c r="E51" s="267">
        <f>IFERROR((IF($C$40="Gross Margin",F35/$F$37*$F$12,IF($C$40="Net Margin",F35/$F$37*$F$18,"Error")))/D51,"")/IF($D$40="USD",'Parámetros'!$L$3,1)</f>
        <v>0</v>
      </c>
      <c r="F51" s="267">
        <f t="shared" si="9"/>
        <v>0</v>
      </c>
      <c r="G51" s="55"/>
    </row>
    <row r="52" ht="14.25" customHeight="1">
      <c r="B52" s="264" t="str">
        <f t="shared" si="6"/>
        <v/>
      </c>
      <c r="C52" s="265" t="str">
        <f t="shared" si="7"/>
        <v/>
      </c>
      <c r="D52" s="268">
        <f t="shared" si="8"/>
        <v>0</v>
      </c>
      <c r="E52" s="267">
        <f>IFERROR((IF($C$40="Gross Margin",F36/$F$37*$F$12,IF($C$40="Net Margin",F36/$F$37*$F$18,"Error")))/D52,"")/IF($D$40="USD",'Parámetros'!$L$3,1)</f>
        <v>0</v>
      </c>
      <c r="F52" s="267">
        <f t="shared" si="9"/>
        <v>0</v>
      </c>
      <c r="G52" s="55"/>
    </row>
    <row r="53" ht="14.25" customHeight="1">
      <c r="E53" s="269" t="s">
        <v>52</v>
      </c>
      <c r="F53" s="270">
        <f>SUM(F43:F52)</f>
        <v>6156.292594</v>
      </c>
      <c r="G53" s="55"/>
    </row>
    <row r="54" ht="14.25" customHeight="1">
      <c r="E54" s="269" t="s">
        <v>167</v>
      </c>
      <c r="F54" s="270">
        <f>F53-G13</f>
        <v>0</v>
      </c>
      <c r="G54" s="55"/>
    </row>
    <row r="55" ht="14.25" customHeight="1">
      <c r="D55" s="271"/>
      <c r="E55" s="271"/>
      <c r="G55" s="55"/>
    </row>
    <row r="56" ht="14.25" customHeight="1">
      <c r="B56" s="272" t="s">
        <v>11</v>
      </c>
      <c r="C56" s="272" t="s">
        <v>52</v>
      </c>
      <c r="D56" s="273" t="s">
        <v>116</v>
      </c>
      <c r="E56" s="274"/>
      <c r="G56" s="55"/>
    </row>
    <row r="57" ht="14.25" customHeight="1" outlineLevel="1">
      <c r="A57" s="33"/>
      <c r="B57" s="275" t="s">
        <v>14</v>
      </c>
      <c r="C57" s="276">
        <f>G37</f>
        <v>54200000</v>
      </c>
      <c r="D57" s="276">
        <f t="shared" ref="D57:D62" si="10">C57/C$10</f>
        <v>13550000</v>
      </c>
      <c r="E57" s="277"/>
      <c r="F57" s="33"/>
      <c r="G57" s="37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</row>
    <row r="58" ht="14.25" customHeight="1" outlineLevel="1">
      <c r="A58" s="33"/>
      <c r="B58" s="278" t="s">
        <v>17</v>
      </c>
      <c r="C58" s="279">
        <f>C60+C61+C59</f>
        <v>18933748.74</v>
      </c>
      <c r="D58" s="279">
        <f t="shared" si="10"/>
        <v>4733437.186</v>
      </c>
      <c r="E58" s="277"/>
      <c r="F58" s="33"/>
      <c r="G58" s="37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</row>
    <row r="59" ht="14.25" customHeight="1" outlineLevel="1">
      <c r="B59" s="280" t="s">
        <v>19</v>
      </c>
      <c r="C59" s="70"/>
      <c r="D59" s="70">
        <f t="shared" si="10"/>
        <v>0</v>
      </c>
      <c r="E59" s="271"/>
      <c r="G59" s="55"/>
    </row>
    <row r="60" ht="14.25" customHeight="1" outlineLevel="1">
      <c r="B60" s="280" t="s">
        <v>20</v>
      </c>
      <c r="C60" s="281">
        <f>H37*AVERAGE('Parámetros'!G8:G9)*IF(C2="Network",15%,100%)*IF(C2="Enterprise",40%,100%)</f>
        <v>18933748.74</v>
      </c>
      <c r="D60" s="281">
        <f t="shared" si="10"/>
        <v>4733437.186</v>
      </c>
      <c r="E60" s="282"/>
      <c r="G60" s="55"/>
    </row>
    <row r="61" ht="14.25" customHeight="1" outlineLevel="1">
      <c r="B61" s="280" t="s">
        <v>21</v>
      </c>
      <c r="C61" s="70"/>
      <c r="D61" s="70">
        <f t="shared" si="10"/>
        <v>0</v>
      </c>
      <c r="E61" s="282"/>
      <c r="G61" s="55"/>
    </row>
    <row r="62" ht="14.25" customHeight="1">
      <c r="B62" s="283" t="s">
        <v>23</v>
      </c>
      <c r="C62" s="284">
        <f>C57+C58</f>
        <v>73133748.74</v>
      </c>
      <c r="D62" s="284">
        <f t="shared" si="10"/>
        <v>18283437.19</v>
      </c>
      <c r="E62" s="277"/>
      <c r="G62" s="55"/>
    </row>
    <row r="63" ht="14.25" customHeight="1">
      <c r="B63" s="285" t="s">
        <v>168</v>
      </c>
      <c r="C63" s="286">
        <f t="shared" ref="C63:D63" si="11">C57+C59+C61</f>
        <v>54200000</v>
      </c>
      <c r="D63" s="286">
        <f t="shared" si="11"/>
        <v>13550000</v>
      </c>
      <c r="E63" s="287"/>
      <c r="G63" s="55"/>
    </row>
    <row r="64">
      <c r="D64" s="271"/>
      <c r="E64" s="271"/>
      <c r="G64" s="55"/>
    </row>
    <row r="65" ht="14.25" customHeight="1">
      <c r="G65" s="55"/>
    </row>
    <row r="66" ht="14.25" customHeight="1">
      <c r="G66" s="55"/>
    </row>
    <row r="67" ht="14.25" customHeight="1">
      <c r="G67" s="55"/>
    </row>
    <row r="68" ht="14.25" customHeight="1">
      <c r="G68" s="55"/>
    </row>
    <row r="69" ht="14.25" customHeight="1">
      <c r="G69" s="55"/>
    </row>
    <row r="70" ht="14.25" customHeight="1">
      <c r="G70" s="55"/>
    </row>
    <row r="71" ht="14.25" customHeight="1">
      <c r="G71" s="55"/>
    </row>
    <row r="72" ht="14.25" customHeight="1">
      <c r="G72" s="55"/>
    </row>
    <row r="73" ht="14.25" customHeight="1">
      <c r="G73" s="55"/>
    </row>
    <row r="74" ht="14.25" customHeight="1">
      <c r="G74" s="55"/>
    </row>
    <row r="75" ht="14.25" customHeight="1">
      <c r="G75" s="55"/>
    </row>
    <row r="76" ht="14.25" customHeight="1">
      <c r="G76" s="55"/>
    </row>
    <row r="77" ht="14.25" customHeight="1">
      <c r="G77" s="55"/>
    </row>
    <row r="78" ht="14.25" customHeight="1">
      <c r="G78" s="55"/>
    </row>
    <row r="79" ht="14.25" customHeight="1">
      <c r="G79" s="55"/>
    </row>
    <row r="80" ht="14.25" customHeight="1">
      <c r="G80" s="55"/>
    </row>
    <row r="81" ht="14.25" customHeight="1">
      <c r="G81" s="55"/>
    </row>
    <row r="82" ht="14.25" customHeight="1">
      <c r="G82" s="55"/>
    </row>
    <row r="83" ht="14.25" customHeight="1">
      <c r="G83" s="55"/>
    </row>
    <row r="84" ht="14.25" customHeight="1">
      <c r="G84" s="55"/>
    </row>
    <row r="85" ht="14.25" customHeight="1">
      <c r="G85" s="55"/>
    </row>
    <row r="86" ht="14.25" customHeight="1">
      <c r="G86" s="55"/>
    </row>
    <row r="87" ht="14.25" customHeight="1">
      <c r="G87" s="55"/>
    </row>
    <row r="88" ht="14.25" customHeight="1">
      <c r="G88" s="55"/>
    </row>
    <row r="89" ht="14.25" customHeight="1">
      <c r="G89" s="55"/>
    </row>
    <row r="90" ht="14.25" customHeight="1">
      <c r="G90" s="55"/>
    </row>
    <row r="91" ht="14.25" customHeight="1">
      <c r="G91" s="55"/>
    </row>
    <row r="92" ht="14.25" customHeight="1">
      <c r="G92" s="55"/>
    </row>
    <row r="93" ht="14.25" customHeight="1">
      <c r="G93" s="55"/>
    </row>
    <row r="94" ht="14.25" customHeight="1">
      <c r="G94" s="55"/>
    </row>
    <row r="95" ht="14.25" customHeight="1">
      <c r="G95" s="55"/>
    </row>
    <row r="96" ht="14.25" customHeight="1">
      <c r="G96" s="55"/>
    </row>
    <row r="97" ht="14.25" customHeight="1">
      <c r="G97" s="55"/>
    </row>
    <row r="98" ht="14.25" customHeight="1">
      <c r="G98" s="55"/>
    </row>
    <row r="99" ht="14.25" customHeight="1">
      <c r="G99" s="55"/>
    </row>
    <row r="100" ht="14.25" customHeight="1">
      <c r="G100" s="55"/>
    </row>
    <row r="101" ht="14.25" customHeight="1">
      <c r="G101" s="55"/>
    </row>
    <row r="102" ht="14.25" customHeight="1">
      <c r="G102" s="55"/>
    </row>
    <row r="103" ht="14.25" customHeight="1">
      <c r="G103" s="55"/>
    </row>
    <row r="104" ht="14.25" customHeight="1">
      <c r="G104" s="55"/>
    </row>
    <row r="105" ht="14.25" customHeight="1">
      <c r="G105" s="55"/>
    </row>
    <row r="106" ht="14.25" customHeight="1">
      <c r="G106" s="55"/>
    </row>
    <row r="107" ht="14.25" customHeight="1">
      <c r="G107" s="55"/>
    </row>
    <row r="108" ht="14.25" customHeight="1">
      <c r="G108" s="55"/>
    </row>
    <row r="109" ht="14.25" customHeight="1">
      <c r="G109" s="55"/>
    </row>
    <row r="110" ht="14.25" customHeight="1">
      <c r="G110" s="55"/>
    </row>
    <row r="111" ht="14.25" customHeight="1">
      <c r="G111" s="55"/>
    </row>
    <row r="112" ht="14.25" customHeight="1">
      <c r="G112" s="55"/>
    </row>
    <row r="113" ht="14.25" customHeight="1">
      <c r="G113" s="55"/>
    </row>
    <row r="114" ht="14.25" customHeight="1">
      <c r="G114" s="55"/>
    </row>
    <row r="115" ht="14.25" customHeight="1">
      <c r="G115" s="55"/>
    </row>
    <row r="116" ht="14.25" customHeight="1">
      <c r="G116" s="55"/>
    </row>
    <row r="117" ht="14.25" customHeight="1">
      <c r="G117" s="55"/>
    </row>
    <row r="118" ht="14.25" customHeight="1">
      <c r="G118" s="55"/>
    </row>
    <row r="119" ht="14.25" customHeight="1">
      <c r="G119" s="55"/>
    </row>
    <row r="120" ht="14.25" customHeight="1">
      <c r="G120" s="55"/>
    </row>
    <row r="121" ht="14.25" customHeight="1">
      <c r="G121" s="55"/>
    </row>
    <row r="122" ht="14.25" customHeight="1">
      <c r="G122" s="55"/>
    </row>
    <row r="123" ht="14.25" customHeight="1">
      <c r="G123" s="55"/>
    </row>
    <row r="124" ht="14.25" customHeight="1">
      <c r="G124" s="55"/>
    </row>
    <row r="125" ht="14.25" customHeight="1">
      <c r="G125" s="55"/>
    </row>
    <row r="126" ht="14.25" customHeight="1">
      <c r="G126" s="55"/>
    </row>
    <row r="127" ht="14.25" customHeight="1">
      <c r="G127" s="55"/>
    </row>
    <row r="128" ht="14.25" customHeight="1">
      <c r="G128" s="55"/>
    </row>
    <row r="129" ht="14.25" customHeight="1">
      <c r="G129" s="55"/>
    </row>
    <row r="130" ht="14.25" customHeight="1">
      <c r="G130" s="55"/>
    </row>
    <row r="131" ht="14.25" customHeight="1">
      <c r="G131" s="55"/>
    </row>
    <row r="132" ht="14.25" customHeight="1">
      <c r="G132" s="55"/>
    </row>
    <row r="133" ht="14.25" customHeight="1">
      <c r="G133" s="55"/>
    </row>
    <row r="134" ht="14.25" customHeight="1">
      <c r="G134" s="55"/>
    </row>
    <row r="135" ht="14.25" customHeight="1">
      <c r="G135" s="55"/>
    </row>
    <row r="136" ht="14.25" customHeight="1">
      <c r="G136" s="55"/>
    </row>
    <row r="137" ht="14.25" customHeight="1">
      <c r="G137" s="55"/>
    </row>
    <row r="138" ht="14.25" customHeight="1">
      <c r="G138" s="55"/>
    </row>
    <row r="139" ht="14.25" customHeight="1">
      <c r="G139" s="55"/>
    </row>
    <row r="140" ht="14.25" customHeight="1">
      <c r="G140" s="55"/>
    </row>
    <row r="141" ht="14.25" customHeight="1">
      <c r="G141" s="55"/>
    </row>
    <row r="142" ht="14.25" customHeight="1">
      <c r="G142" s="55"/>
    </row>
    <row r="143" ht="14.25" customHeight="1">
      <c r="G143" s="55"/>
    </row>
    <row r="144" ht="14.25" customHeight="1">
      <c r="G144" s="55"/>
    </row>
    <row r="145" ht="14.25" customHeight="1">
      <c r="G145" s="55"/>
    </row>
    <row r="146" ht="14.25" customHeight="1">
      <c r="G146" s="55"/>
    </row>
    <row r="147" ht="14.25" customHeight="1">
      <c r="G147" s="55"/>
    </row>
    <row r="148" ht="14.25" customHeight="1">
      <c r="G148" s="55"/>
    </row>
    <row r="149" ht="14.25" customHeight="1">
      <c r="G149" s="55"/>
    </row>
    <row r="150" ht="14.25" customHeight="1">
      <c r="G150" s="55"/>
    </row>
    <row r="151" ht="14.25" customHeight="1">
      <c r="G151" s="55"/>
    </row>
    <row r="152" ht="14.25" customHeight="1">
      <c r="G152" s="55"/>
    </row>
    <row r="153" ht="14.25" customHeight="1">
      <c r="G153" s="55"/>
    </row>
    <row r="154" ht="14.25" customHeight="1">
      <c r="G154" s="55"/>
    </row>
    <row r="155" ht="14.25" customHeight="1">
      <c r="G155" s="55"/>
    </row>
    <row r="156" ht="14.25" customHeight="1">
      <c r="G156" s="55"/>
    </row>
    <row r="157" ht="14.25" customHeight="1">
      <c r="G157" s="55"/>
    </row>
    <row r="158" ht="14.25" customHeight="1">
      <c r="G158" s="55"/>
    </row>
    <row r="159" ht="14.25" customHeight="1">
      <c r="G159" s="55"/>
    </row>
    <row r="160" ht="14.25" customHeight="1">
      <c r="G160" s="55"/>
    </row>
    <row r="161" ht="14.25" customHeight="1">
      <c r="G161" s="55"/>
    </row>
    <row r="162" ht="14.25" customHeight="1">
      <c r="G162" s="55"/>
    </row>
    <row r="163" ht="14.25" customHeight="1">
      <c r="G163" s="55"/>
    </row>
    <row r="164" ht="14.25" customHeight="1">
      <c r="G164" s="55"/>
    </row>
    <row r="165" ht="14.25" customHeight="1">
      <c r="G165" s="55"/>
    </row>
    <row r="166" ht="14.25" customHeight="1">
      <c r="G166" s="55"/>
    </row>
    <row r="167" ht="14.25" customHeight="1">
      <c r="G167" s="55"/>
    </row>
    <row r="168" ht="14.25" customHeight="1">
      <c r="G168" s="55"/>
    </row>
    <row r="169" ht="14.25" customHeight="1">
      <c r="G169" s="55"/>
    </row>
    <row r="170" ht="14.25" customHeight="1">
      <c r="G170" s="55"/>
    </row>
    <row r="171" ht="14.25" customHeight="1">
      <c r="G171" s="55"/>
    </row>
    <row r="172" ht="14.25" customHeight="1">
      <c r="G172" s="55"/>
    </row>
    <row r="173" ht="14.25" customHeight="1">
      <c r="G173" s="55"/>
    </row>
    <row r="174" ht="14.25" customHeight="1">
      <c r="G174" s="55"/>
    </row>
    <row r="175" ht="14.25" customHeight="1">
      <c r="G175" s="55"/>
    </row>
    <row r="176" ht="14.25" customHeight="1">
      <c r="G176" s="55"/>
    </row>
    <row r="177" ht="14.25" customHeight="1">
      <c r="G177" s="55"/>
    </row>
    <row r="178" ht="14.25" customHeight="1">
      <c r="G178" s="55"/>
    </row>
    <row r="179" ht="14.25" customHeight="1">
      <c r="G179" s="55"/>
    </row>
    <row r="180" ht="14.25" customHeight="1">
      <c r="G180" s="55"/>
    </row>
    <row r="181" ht="14.25" customHeight="1">
      <c r="G181" s="55"/>
    </row>
    <row r="182" ht="14.25" customHeight="1">
      <c r="G182" s="55"/>
    </row>
    <row r="183" ht="14.25" customHeight="1">
      <c r="G183" s="55"/>
    </row>
    <row r="184" ht="14.25" customHeight="1">
      <c r="G184" s="55"/>
    </row>
    <row r="185" ht="14.25" customHeight="1">
      <c r="G185" s="55"/>
    </row>
    <row r="186" ht="14.25" customHeight="1">
      <c r="G186" s="55"/>
    </row>
    <row r="187" ht="14.25" customHeight="1">
      <c r="G187" s="55"/>
    </row>
    <row r="188" ht="14.25" customHeight="1">
      <c r="G188" s="55"/>
    </row>
    <row r="189" ht="14.25" customHeight="1">
      <c r="G189" s="55"/>
    </row>
    <row r="190" ht="14.25" customHeight="1">
      <c r="G190" s="55"/>
    </row>
    <row r="191" ht="14.25" customHeight="1">
      <c r="G191" s="55"/>
    </row>
    <row r="192" ht="14.25" customHeight="1">
      <c r="G192" s="55"/>
    </row>
    <row r="193" ht="14.25" customHeight="1">
      <c r="G193" s="55"/>
    </row>
    <row r="194" ht="14.25" customHeight="1">
      <c r="G194" s="55"/>
    </row>
    <row r="195" ht="14.25" customHeight="1">
      <c r="G195" s="55"/>
    </row>
    <row r="196" ht="14.25" customHeight="1">
      <c r="G196" s="55"/>
    </row>
    <row r="197" ht="14.25" customHeight="1">
      <c r="G197" s="55"/>
    </row>
    <row r="198" ht="14.25" customHeight="1">
      <c r="G198" s="55"/>
    </row>
    <row r="199" ht="14.25" customHeight="1">
      <c r="G199" s="55"/>
    </row>
    <row r="200" ht="14.25" customHeight="1">
      <c r="G200" s="55"/>
    </row>
    <row r="201" ht="14.25" customHeight="1">
      <c r="G201" s="55"/>
    </row>
    <row r="202" ht="14.25" customHeight="1">
      <c r="G202" s="55"/>
    </row>
    <row r="203" ht="14.25" customHeight="1">
      <c r="G203" s="55"/>
    </row>
    <row r="204" ht="14.25" customHeight="1">
      <c r="G204" s="55"/>
    </row>
    <row r="205" ht="14.25" customHeight="1">
      <c r="G205" s="55"/>
    </row>
    <row r="206" ht="14.25" customHeight="1">
      <c r="G206" s="55"/>
    </row>
    <row r="207" ht="14.25" customHeight="1">
      <c r="G207" s="55"/>
    </row>
    <row r="208" ht="14.25" customHeight="1">
      <c r="G208" s="55"/>
    </row>
    <row r="209" ht="14.25" customHeight="1">
      <c r="G209" s="55"/>
    </row>
    <row r="210" ht="14.25" customHeight="1">
      <c r="G210" s="55"/>
    </row>
    <row r="211" ht="14.25" customHeight="1">
      <c r="G211" s="55"/>
    </row>
    <row r="212" ht="14.25" customHeight="1">
      <c r="G212" s="55"/>
    </row>
    <row r="213" ht="14.25" customHeight="1">
      <c r="G213" s="55"/>
    </row>
    <row r="214" ht="14.25" customHeight="1">
      <c r="G214" s="55"/>
    </row>
    <row r="215" ht="14.25" customHeight="1">
      <c r="G215" s="55"/>
    </row>
    <row r="216" ht="14.25" customHeight="1">
      <c r="G216" s="55"/>
    </row>
    <row r="217" ht="14.25" customHeight="1">
      <c r="G217" s="55"/>
    </row>
    <row r="218" ht="14.25" customHeight="1">
      <c r="G218" s="55"/>
    </row>
    <row r="219" ht="14.25" customHeight="1">
      <c r="G219" s="55"/>
    </row>
    <row r="220" ht="14.25" customHeight="1">
      <c r="G220" s="55"/>
    </row>
    <row r="221" ht="14.25" customHeight="1">
      <c r="G221" s="55"/>
    </row>
    <row r="222" ht="14.25" customHeight="1">
      <c r="G222" s="55"/>
    </row>
    <row r="223" ht="14.25" customHeight="1">
      <c r="G223" s="55"/>
    </row>
    <row r="224" ht="14.25" customHeight="1">
      <c r="G224" s="55"/>
    </row>
    <row r="225" ht="14.25" customHeight="1">
      <c r="G225" s="55"/>
    </row>
    <row r="226" ht="14.25" customHeight="1">
      <c r="G226" s="55"/>
    </row>
    <row r="227" ht="14.25" customHeight="1">
      <c r="G227" s="55"/>
    </row>
    <row r="228" ht="14.25" customHeight="1">
      <c r="G228" s="55"/>
    </row>
    <row r="229" ht="14.25" customHeight="1">
      <c r="G229" s="55"/>
    </row>
    <row r="230" ht="14.25" customHeight="1">
      <c r="G230" s="55"/>
    </row>
    <row r="231" ht="14.25" customHeight="1">
      <c r="G231" s="55"/>
    </row>
    <row r="232" ht="14.25" customHeight="1">
      <c r="G232" s="55"/>
    </row>
    <row r="233" ht="14.25" customHeight="1">
      <c r="G233" s="55"/>
    </row>
    <row r="234" ht="14.25" customHeight="1">
      <c r="G234" s="55"/>
    </row>
    <row r="235" ht="14.25" customHeight="1">
      <c r="G235" s="55"/>
    </row>
    <row r="236" ht="14.25" customHeight="1">
      <c r="G236" s="55"/>
    </row>
    <row r="237" ht="14.25" customHeight="1">
      <c r="G237" s="55"/>
    </row>
    <row r="238" ht="14.25" customHeight="1">
      <c r="G238" s="55"/>
    </row>
    <row r="239" ht="14.25" customHeight="1">
      <c r="G239" s="55"/>
    </row>
    <row r="240" ht="14.25" customHeight="1">
      <c r="G240" s="55"/>
    </row>
    <row r="241" ht="14.25" customHeight="1">
      <c r="G241" s="55"/>
    </row>
    <row r="242" ht="14.25" customHeight="1">
      <c r="G242" s="55"/>
    </row>
    <row r="243" ht="14.25" customHeight="1">
      <c r="G243" s="55"/>
    </row>
    <row r="244" ht="14.25" customHeight="1">
      <c r="G244" s="55"/>
    </row>
    <row r="245" ht="14.25" customHeight="1">
      <c r="G245" s="55"/>
    </row>
    <row r="246" ht="14.25" customHeight="1">
      <c r="G246" s="55"/>
    </row>
    <row r="247" ht="14.25" customHeight="1">
      <c r="G247" s="55"/>
    </row>
    <row r="248" ht="14.25" customHeight="1">
      <c r="G248" s="55"/>
    </row>
    <row r="249" ht="14.25" customHeight="1">
      <c r="G249" s="55"/>
    </row>
    <row r="250" ht="14.25" customHeight="1">
      <c r="G250" s="55"/>
    </row>
    <row r="251" ht="14.25" customHeight="1">
      <c r="G251" s="55"/>
    </row>
    <row r="252" ht="14.25" customHeight="1">
      <c r="G252" s="55"/>
    </row>
    <row r="253" ht="14.25" customHeight="1">
      <c r="G253" s="55"/>
    </row>
    <row r="254" ht="14.25" customHeight="1">
      <c r="G254" s="55"/>
    </row>
    <row r="255" ht="14.25" customHeight="1">
      <c r="G255" s="55"/>
    </row>
    <row r="256" ht="14.25" customHeight="1">
      <c r="G256" s="55"/>
    </row>
    <row r="257" ht="14.25" customHeight="1">
      <c r="G257" s="55"/>
    </row>
    <row r="258" ht="14.25" customHeight="1">
      <c r="G258" s="55"/>
    </row>
    <row r="259" ht="14.25" customHeight="1">
      <c r="G259" s="55"/>
    </row>
    <row r="260" ht="14.25" customHeight="1">
      <c r="G260" s="55"/>
    </row>
    <row r="261" ht="14.25" customHeight="1">
      <c r="G261" s="55"/>
    </row>
    <row r="262" ht="14.25" customHeight="1">
      <c r="G262" s="55"/>
    </row>
    <row r="263" ht="14.25" customHeight="1">
      <c r="G263" s="55"/>
    </row>
    <row r="264" ht="14.25" customHeight="1">
      <c r="G264" s="55"/>
    </row>
    <row r="265" ht="14.25" customHeight="1">
      <c r="G265" s="55"/>
    </row>
    <row r="266" ht="14.25" customHeight="1">
      <c r="G266" s="55"/>
    </row>
    <row r="267" ht="14.25" customHeight="1">
      <c r="G267" s="55"/>
    </row>
    <row r="268" ht="14.25" customHeight="1">
      <c r="G268" s="55"/>
    </row>
    <row r="269" ht="14.25" customHeight="1">
      <c r="G269" s="55"/>
    </row>
    <row r="270" ht="14.25" customHeight="1">
      <c r="G270" s="55"/>
    </row>
    <row r="271" ht="14.25" customHeight="1">
      <c r="G271" s="55"/>
    </row>
    <row r="272" ht="14.25" customHeight="1">
      <c r="G272" s="55"/>
    </row>
    <row r="273" ht="14.25" customHeight="1">
      <c r="G273" s="55"/>
    </row>
    <row r="274" ht="14.25" customHeight="1">
      <c r="G274" s="55"/>
    </row>
    <row r="275" ht="14.25" customHeight="1">
      <c r="G275" s="55"/>
    </row>
    <row r="276" ht="14.25" customHeight="1">
      <c r="G276" s="55"/>
    </row>
    <row r="277" ht="14.25" customHeight="1">
      <c r="G277" s="55"/>
    </row>
    <row r="278" ht="14.25" customHeight="1">
      <c r="G278" s="55"/>
    </row>
    <row r="279" ht="14.25" customHeight="1">
      <c r="G279" s="55"/>
    </row>
    <row r="280" ht="14.25" customHeight="1">
      <c r="G280" s="55"/>
    </row>
    <row r="281" ht="14.25" customHeight="1">
      <c r="G281" s="55"/>
    </row>
    <row r="282" ht="14.25" customHeight="1">
      <c r="G282" s="55"/>
    </row>
    <row r="283" ht="14.25" customHeight="1">
      <c r="G283" s="55"/>
    </row>
    <row r="284" ht="14.25" customHeight="1">
      <c r="G284" s="55"/>
    </row>
    <row r="285" ht="14.25" customHeight="1">
      <c r="G285" s="55"/>
    </row>
    <row r="286" ht="14.25" customHeight="1">
      <c r="G286" s="55"/>
    </row>
    <row r="287" ht="14.25" customHeight="1">
      <c r="G287" s="55"/>
    </row>
    <row r="288" ht="14.25" customHeight="1">
      <c r="G288" s="55"/>
    </row>
    <row r="289" ht="14.25" customHeight="1">
      <c r="G289" s="55"/>
    </row>
    <row r="290" ht="14.25" customHeight="1">
      <c r="G290" s="55"/>
    </row>
    <row r="291" ht="14.25" customHeight="1">
      <c r="G291" s="55"/>
    </row>
    <row r="292" ht="14.25" customHeight="1">
      <c r="G292" s="55"/>
    </row>
    <row r="293" ht="14.25" customHeight="1">
      <c r="G293" s="55"/>
    </row>
    <row r="294" ht="14.25" customHeight="1">
      <c r="G294" s="55"/>
    </row>
    <row r="295" ht="14.25" customHeight="1">
      <c r="G295" s="55"/>
    </row>
    <row r="296" ht="14.25" customHeight="1">
      <c r="G296" s="55"/>
    </row>
    <row r="297" ht="14.25" customHeight="1">
      <c r="G297" s="55"/>
    </row>
    <row r="298" ht="14.25" customHeight="1">
      <c r="G298" s="55"/>
    </row>
    <row r="299" ht="14.25" customHeight="1">
      <c r="G299" s="55"/>
    </row>
    <row r="300" ht="14.25" customHeight="1">
      <c r="G300" s="55"/>
    </row>
    <row r="301" ht="14.25" customHeight="1">
      <c r="G301" s="55"/>
    </row>
    <row r="302" ht="14.25" customHeight="1">
      <c r="G302" s="55"/>
    </row>
    <row r="303" ht="14.25" customHeight="1">
      <c r="G303" s="55"/>
    </row>
    <row r="304" ht="14.25" customHeight="1">
      <c r="G304" s="55"/>
    </row>
    <row r="305" ht="14.25" customHeight="1">
      <c r="G305" s="55"/>
    </row>
    <row r="306" ht="14.25" customHeight="1">
      <c r="G306" s="55"/>
    </row>
    <row r="307" ht="14.25" customHeight="1">
      <c r="G307" s="55"/>
    </row>
    <row r="308" ht="14.25" customHeight="1">
      <c r="G308" s="55"/>
    </row>
    <row r="309" ht="14.25" customHeight="1">
      <c r="G309" s="55"/>
    </row>
    <row r="310" ht="14.25" customHeight="1">
      <c r="G310" s="55"/>
    </row>
    <row r="311" ht="14.25" customHeight="1">
      <c r="G311" s="55"/>
    </row>
    <row r="312" ht="14.25" customHeight="1">
      <c r="G312" s="55"/>
    </row>
    <row r="313" ht="14.25" customHeight="1">
      <c r="G313" s="55"/>
    </row>
    <row r="314" ht="14.25" customHeight="1">
      <c r="G314" s="55"/>
    </row>
    <row r="315" ht="14.25" customHeight="1">
      <c r="G315" s="55"/>
    </row>
    <row r="316" ht="14.25" customHeight="1">
      <c r="G316" s="55"/>
    </row>
    <row r="317" ht="14.25" customHeight="1">
      <c r="G317" s="55"/>
    </row>
    <row r="318" ht="14.25" customHeight="1">
      <c r="G318" s="55"/>
    </row>
    <row r="319" ht="14.25" customHeight="1">
      <c r="G319" s="55"/>
    </row>
    <row r="320" ht="14.25" customHeight="1">
      <c r="G320" s="55"/>
    </row>
    <row r="321" ht="14.25" customHeight="1">
      <c r="G321" s="55"/>
    </row>
    <row r="322" ht="14.25" customHeight="1">
      <c r="G322" s="55"/>
    </row>
    <row r="323" ht="14.25" customHeight="1">
      <c r="G323" s="55"/>
    </row>
    <row r="324" ht="14.25" customHeight="1">
      <c r="G324" s="55"/>
    </row>
    <row r="325" ht="14.25" customHeight="1">
      <c r="G325" s="55"/>
    </row>
    <row r="326" ht="14.25" customHeight="1">
      <c r="G326" s="55"/>
    </row>
    <row r="327" ht="14.25" customHeight="1">
      <c r="G327" s="55"/>
    </row>
    <row r="328" ht="14.25" customHeight="1">
      <c r="G328" s="55"/>
    </row>
    <row r="329" ht="14.25" customHeight="1">
      <c r="G329" s="55"/>
    </row>
    <row r="330" ht="14.25" customHeight="1">
      <c r="G330" s="55"/>
    </row>
    <row r="331" ht="14.25" customHeight="1">
      <c r="G331" s="55"/>
    </row>
    <row r="332" ht="14.25" customHeight="1">
      <c r="G332" s="55"/>
    </row>
    <row r="333" ht="14.25" customHeight="1">
      <c r="G333" s="55"/>
    </row>
    <row r="334" ht="14.25" customHeight="1">
      <c r="G334" s="55"/>
    </row>
    <row r="335" ht="14.25" customHeight="1">
      <c r="G335" s="55"/>
    </row>
    <row r="336" ht="14.25" customHeight="1">
      <c r="G336" s="55"/>
    </row>
    <row r="337" ht="14.25" customHeight="1">
      <c r="G337" s="55"/>
    </row>
    <row r="338" ht="14.25" customHeight="1">
      <c r="G338" s="55"/>
    </row>
    <row r="339" ht="14.25" customHeight="1">
      <c r="G339" s="55"/>
    </row>
    <row r="340" ht="14.25" customHeight="1">
      <c r="G340" s="55"/>
    </row>
    <row r="341" ht="14.25" customHeight="1">
      <c r="G341" s="55"/>
    </row>
    <row r="342" ht="14.25" customHeight="1">
      <c r="G342" s="55"/>
    </row>
    <row r="343" ht="14.25" customHeight="1">
      <c r="G343" s="55"/>
    </row>
    <row r="344" ht="14.25" customHeight="1">
      <c r="G344" s="55"/>
    </row>
    <row r="345" ht="14.25" customHeight="1">
      <c r="G345" s="55"/>
    </row>
    <row r="346" ht="14.25" customHeight="1">
      <c r="G346" s="55"/>
    </row>
    <row r="347" ht="14.25" customHeight="1">
      <c r="G347" s="55"/>
    </row>
    <row r="348" ht="14.25" customHeight="1">
      <c r="G348" s="55"/>
    </row>
    <row r="349" ht="14.25" customHeight="1">
      <c r="G349" s="55"/>
    </row>
    <row r="350" ht="14.25" customHeight="1">
      <c r="G350" s="55"/>
    </row>
    <row r="351" ht="14.25" customHeight="1">
      <c r="G351" s="55"/>
    </row>
    <row r="352" ht="14.25" customHeight="1">
      <c r="G352" s="55"/>
    </row>
    <row r="353" ht="14.25" customHeight="1">
      <c r="G353" s="55"/>
    </row>
    <row r="354" ht="14.25" customHeight="1">
      <c r="G354" s="55"/>
    </row>
    <row r="355" ht="14.25" customHeight="1">
      <c r="G355" s="55"/>
    </row>
    <row r="356" ht="14.25" customHeight="1">
      <c r="G356" s="55"/>
    </row>
    <row r="357" ht="14.25" customHeight="1">
      <c r="G357" s="55"/>
    </row>
    <row r="358" ht="14.25" customHeight="1">
      <c r="G358" s="55"/>
    </row>
    <row r="359" ht="14.25" customHeight="1">
      <c r="G359" s="55"/>
    </row>
    <row r="360" ht="14.25" customHeight="1">
      <c r="G360" s="55"/>
    </row>
    <row r="361" ht="14.25" customHeight="1">
      <c r="G361" s="55"/>
    </row>
    <row r="362" ht="14.25" customHeight="1">
      <c r="G362" s="55"/>
    </row>
    <row r="363" ht="14.25" customHeight="1">
      <c r="G363" s="55"/>
    </row>
    <row r="364" ht="14.25" customHeight="1">
      <c r="G364" s="55"/>
    </row>
    <row r="365" ht="14.25" customHeight="1">
      <c r="G365" s="55"/>
    </row>
    <row r="366" ht="14.25" customHeight="1">
      <c r="G366" s="55"/>
    </row>
    <row r="367" ht="14.25" customHeight="1">
      <c r="G367" s="55"/>
    </row>
    <row r="368" ht="14.25" customHeight="1">
      <c r="G368" s="55"/>
    </row>
    <row r="369" ht="14.25" customHeight="1">
      <c r="G369" s="55"/>
    </row>
    <row r="370" ht="14.25" customHeight="1">
      <c r="G370" s="55"/>
    </row>
    <row r="371" ht="14.25" customHeight="1">
      <c r="G371" s="55"/>
    </row>
    <row r="372" ht="14.25" customHeight="1">
      <c r="G372" s="55"/>
    </row>
    <row r="373" ht="14.25" customHeight="1">
      <c r="G373" s="55"/>
    </row>
    <row r="374" ht="14.25" customHeight="1">
      <c r="G374" s="55"/>
    </row>
    <row r="375" ht="14.25" customHeight="1">
      <c r="G375" s="55"/>
    </row>
    <row r="376" ht="14.25" customHeight="1">
      <c r="G376" s="55"/>
    </row>
    <row r="377" ht="14.25" customHeight="1">
      <c r="G377" s="55"/>
    </row>
    <row r="378" ht="14.25" customHeight="1">
      <c r="G378" s="55"/>
    </row>
    <row r="379" ht="14.25" customHeight="1">
      <c r="G379" s="55"/>
    </row>
    <row r="380" ht="14.25" customHeight="1">
      <c r="G380" s="55"/>
    </row>
    <row r="381" ht="14.25" customHeight="1">
      <c r="G381" s="55"/>
    </row>
    <row r="382" ht="14.25" customHeight="1">
      <c r="G382" s="55"/>
    </row>
    <row r="383" ht="14.25" customHeight="1">
      <c r="G383" s="55"/>
    </row>
    <row r="384" ht="14.25" customHeight="1">
      <c r="G384" s="55"/>
    </row>
    <row r="385" ht="14.25" customHeight="1">
      <c r="G385" s="55"/>
    </row>
    <row r="386" ht="14.25" customHeight="1">
      <c r="G386" s="55"/>
    </row>
    <row r="387" ht="14.25" customHeight="1">
      <c r="G387" s="55"/>
    </row>
    <row r="388" ht="14.25" customHeight="1">
      <c r="G388" s="55"/>
    </row>
    <row r="389" ht="14.25" customHeight="1">
      <c r="G389" s="55"/>
    </row>
    <row r="390" ht="14.25" customHeight="1">
      <c r="G390" s="55"/>
    </row>
    <row r="391" ht="14.25" customHeight="1">
      <c r="G391" s="55"/>
    </row>
    <row r="392" ht="14.25" customHeight="1">
      <c r="G392" s="55"/>
    </row>
    <row r="393" ht="14.25" customHeight="1">
      <c r="G393" s="55"/>
    </row>
    <row r="394" ht="14.25" customHeight="1">
      <c r="G394" s="55"/>
    </row>
    <row r="395" ht="14.25" customHeight="1">
      <c r="G395" s="55"/>
    </row>
    <row r="396" ht="14.25" customHeight="1">
      <c r="G396" s="55"/>
    </row>
    <row r="397" ht="14.25" customHeight="1">
      <c r="G397" s="55"/>
    </row>
    <row r="398" ht="14.25" customHeight="1">
      <c r="G398" s="55"/>
    </row>
    <row r="399" ht="14.25" customHeight="1">
      <c r="G399" s="55"/>
    </row>
    <row r="400" ht="14.25" customHeight="1">
      <c r="G400" s="55"/>
    </row>
    <row r="401" ht="14.25" customHeight="1">
      <c r="G401" s="55"/>
    </row>
    <row r="402" ht="14.25" customHeight="1">
      <c r="G402" s="55"/>
    </row>
    <row r="403" ht="14.25" customHeight="1">
      <c r="G403" s="55"/>
    </row>
    <row r="404" ht="14.25" customHeight="1">
      <c r="G404" s="55"/>
    </row>
    <row r="405" ht="14.25" customHeight="1">
      <c r="G405" s="55"/>
    </row>
    <row r="406" ht="14.25" customHeight="1">
      <c r="G406" s="55"/>
    </row>
    <row r="407" ht="14.25" customHeight="1">
      <c r="G407" s="55"/>
    </row>
    <row r="408" ht="14.25" customHeight="1">
      <c r="G408" s="55"/>
    </row>
    <row r="409" ht="14.25" customHeight="1">
      <c r="G409" s="55"/>
    </row>
    <row r="410" ht="14.25" customHeight="1">
      <c r="G410" s="55"/>
    </row>
    <row r="411" ht="14.25" customHeight="1">
      <c r="G411" s="55"/>
    </row>
    <row r="412" ht="14.25" customHeight="1">
      <c r="G412" s="55"/>
    </row>
    <row r="413" ht="14.25" customHeight="1">
      <c r="G413" s="55"/>
    </row>
    <row r="414" ht="14.25" customHeight="1">
      <c r="G414" s="55"/>
    </row>
    <row r="415" ht="14.25" customHeight="1">
      <c r="G415" s="55"/>
    </row>
    <row r="416" ht="14.25" customHeight="1">
      <c r="G416" s="55"/>
    </row>
    <row r="417" ht="14.25" customHeight="1">
      <c r="G417" s="55"/>
    </row>
    <row r="418" ht="14.25" customHeight="1">
      <c r="G418" s="55"/>
    </row>
    <row r="419" ht="14.25" customHeight="1">
      <c r="G419" s="55"/>
    </row>
    <row r="420" ht="14.25" customHeight="1">
      <c r="G420" s="55"/>
    </row>
    <row r="421" ht="14.25" customHeight="1">
      <c r="G421" s="55"/>
    </row>
    <row r="422" ht="14.25" customHeight="1">
      <c r="G422" s="55"/>
    </row>
    <row r="423" ht="14.25" customHeight="1">
      <c r="G423" s="55"/>
    </row>
    <row r="424" ht="14.25" customHeight="1">
      <c r="G424" s="55"/>
    </row>
    <row r="425" ht="14.25" customHeight="1">
      <c r="G425" s="55"/>
    </row>
    <row r="426" ht="14.25" customHeight="1">
      <c r="G426" s="55"/>
    </row>
    <row r="427" ht="14.25" customHeight="1">
      <c r="G427" s="55"/>
    </row>
    <row r="428" ht="14.25" customHeight="1">
      <c r="G428" s="55"/>
    </row>
    <row r="429" ht="14.25" customHeight="1">
      <c r="G429" s="55"/>
    </row>
    <row r="430" ht="14.25" customHeight="1">
      <c r="G430" s="55"/>
    </row>
    <row r="431" ht="14.25" customHeight="1">
      <c r="G431" s="55"/>
    </row>
    <row r="432" ht="14.25" customHeight="1">
      <c r="G432" s="55"/>
    </row>
    <row r="433" ht="14.25" customHeight="1">
      <c r="G433" s="55"/>
    </row>
    <row r="434" ht="14.25" customHeight="1">
      <c r="G434" s="55"/>
    </row>
    <row r="435" ht="14.25" customHeight="1">
      <c r="G435" s="55"/>
    </row>
    <row r="436" ht="14.25" customHeight="1">
      <c r="G436" s="55"/>
    </row>
    <row r="437" ht="14.25" customHeight="1">
      <c r="G437" s="55"/>
    </row>
    <row r="438" ht="14.25" customHeight="1">
      <c r="G438" s="55"/>
    </row>
    <row r="439" ht="14.25" customHeight="1">
      <c r="G439" s="55"/>
    </row>
    <row r="440" ht="14.25" customHeight="1">
      <c r="G440" s="55"/>
    </row>
    <row r="441" ht="14.25" customHeight="1">
      <c r="G441" s="55"/>
    </row>
    <row r="442" ht="14.25" customHeight="1">
      <c r="G442" s="55"/>
    </row>
    <row r="443" ht="14.25" customHeight="1">
      <c r="G443" s="55"/>
    </row>
    <row r="444" ht="14.25" customHeight="1">
      <c r="G444" s="55"/>
    </row>
    <row r="445" ht="14.25" customHeight="1">
      <c r="G445" s="55"/>
    </row>
    <row r="446" ht="14.25" customHeight="1">
      <c r="G446" s="55"/>
    </row>
    <row r="447" ht="14.25" customHeight="1">
      <c r="G447" s="55"/>
    </row>
    <row r="448" ht="14.25" customHeight="1">
      <c r="G448" s="55"/>
    </row>
    <row r="449" ht="14.25" customHeight="1">
      <c r="G449" s="55"/>
    </row>
    <row r="450" ht="14.25" customHeight="1">
      <c r="G450" s="55"/>
    </row>
    <row r="451" ht="14.25" customHeight="1">
      <c r="G451" s="55"/>
    </row>
    <row r="452" ht="14.25" customHeight="1">
      <c r="G452" s="55"/>
    </row>
    <row r="453" ht="14.25" customHeight="1">
      <c r="G453" s="55"/>
    </row>
    <row r="454" ht="14.25" customHeight="1">
      <c r="G454" s="55"/>
    </row>
    <row r="455" ht="14.25" customHeight="1">
      <c r="G455" s="55"/>
    </row>
    <row r="456" ht="14.25" customHeight="1">
      <c r="G456" s="55"/>
    </row>
    <row r="457" ht="14.25" customHeight="1">
      <c r="G457" s="55"/>
    </row>
    <row r="458" ht="14.25" customHeight="1">
      <c r="G458" s="55"/>
    </row>
    <row r="459" ht="14.25" customHeight="1">
      <c r="G459" s="55"/>
    </row>
    <row r="460" ht="14.25" customHeight="1">
      <c r="G460" s="55"/>
    </row>
    <row r="461" ht="14.25" customHeight="1">
      <c r="G461" s="55"/>
    </row>
    <row r="462" ht="14.25" customHeight="1">
      <c r="G462" s="55"/>
    </row>
    <row r="463" ht="14.25" customHeight="1">
      <c r="G463" s="55"/>
    </row>
    <row r="464" ht="14.25" customHeight="1">
      <c r="G464" s="55"/>
    </row>
    <row r="465" ht="14.25" customHeight="1">
      <c r="G465" s="55"/>
    </row>
    <row r="466" ht="14.25" customHeight="1">
      <c r="G466" s="55"/>
    </row>
    <row r="467" ht="14.25" customHeight="1">
      <c r="G467" s="55"/>
    </row>
    <row r="468" ht="14.25" customHeight="1">
      <c r="G468" s="55"/>
    </row>
    <row r="469" ht="14.25" customHeight="1">
      <c r="G469" s="55"/>
    </row>
    <row r="470" ht="14.25" customHeight="1">
      <c r="G470" s="55"/>
    </row>
    <row r="471" ht="14.25" customHeight="1">
      <c r="G471" s="55"/>
    </row>
    <row r="472" ht="14.25" customHeight="1">
      <c r="G472" s="55"/>
    </row>
    <row r="473" ht="14.25" customHeight="1">
      <c r="G473" s="55"/>
    </row>
    <row r="474" ht="14.25" customHeight="1">
      <c r="G474" s="55"/>
    </row>
    <row r="475" ht="14.25" customHeight="1">
      <c r="G475" s="55"/>
    </row>
    <row r="476" ht="14.25" customHeight="1">
      <c r="G476" s="55"/>
    </row>
    <row r="477" ht="14.25" customHeight="1">
      <c r="G477" s="55"/>
    </row>
    <row r="478" ht="14.25" customHeight="1">
      <c r="G478" s="55"/>
    </row>
    <row r="479" ht="14.25" customHeight="1">
      <c r="G479" s="55"/>
    </row>
    <row r="480" ht="14.25" customHeight="1">
      <c r="G480" s="55"/>
    </row>
    <row r="481" ht="14.25" customHeight="1">
      <c r="G481" s="55"/>
    </row>
    <row r="482" ht="14.25" customHeight="1">
      <c r="G482" s="55"/>
    </row>
    <row r="483" ht="14.25" customHeight="1">
      <c r="G483" s="55"/>
    </row>
    <row r="484" ht="14.25" customHeight="1">
      <c r="G484" s="55"/>
    </row>
    <row r="485" ht="14.25" customHeight="1">
      <c r="G485" s="55"/>
    </row>
    <row r="486" ht="14.25" customHeight="1">
      <c r="G486" s="55"/>
    </row>
    <row r="487" ht="14.25" customHeight="1">
      <c r="G487" s="55"/>
    </row>
    <row r="488" ht="14.25" customHeight="1">
      <c r="G488" s="55"/>
    </row>
    <row r="489" ht="14.25" customHeight="1">
      <c r="G489" s="55"/>
    </row>
    <row r="490" ht="14.25" customHeight="1">
      <c r="G490" s="55"/>
    </row>
    <row r="491" ht="14.25" customHeight="1">
      <c r="G491" s="55"/>
    </row>
    <row r="492" ht="14.25" customHeight="1">
      <c r="G492" s="55"/>
    </row>
    <row r="493" ht="14.25" customHeight="1">
      <c r="G493" s="55"/>
    </row>
    <row r="494" ht="14.25" customHeight="1">
      <c r="G494" s="55"/>
    </row>
    <row r="495" ht="14.25" customHeight="1">
      <c r="G495" s="55"/>
    </row>
    <row r="496" ht="14.25" customHeight="1">
      <c r="G496" s="55"/>
    </row>
    <row r="497" ht="14.25" customHeight="1">
      <c r="G497" s="55"/>
    </row>
    <row r="498" ht="14.25" customHeight="1">
      <c r="G498" s="55"/>
    </row>
    <row r="499" ht="14.25" customHeight="1">
      <c r="G499" s="55"/>
    </row>
    <row r="500" ht="14.25" customHeight="1">
      <c r="G500" s="55"/>
    </row>
    <row r="501" ht="14.25" customHeight="1">
      <c r="G501" s="55"/>
    </row>
    <row r="502" ht="14.25" customHeight="1">
      <c r="G502" s="55"/>
    </row>
    <row r="503" ht="14.25" customHeight="1">
      <c r="G503" s="55"/>
    </row>
    <row r="504" ht="14.25" customHeight="1">
      <c r="G504" s="55"/>
    </row>
    <row r="505" ht="14.25" customHeight="1">
      <c r="G505" s="55"/>
    </row>
    <row r="506" ht="14.25" customHeight="1">
      <c r="G506" s="55"/>
    </row>
    <row r="507" ht="14.25" customHeight="1">
      <c r="G507" s="55"/>
    </row>
    <row r="508" ht="14.25" customHeight="1">
      <c r="G508" s="55"/>
    </row>
    <row r="509" ht="14.25" customHeight="1">
      <c r="G509" s="55"/>
    </row>
    <row r="510" ht="14.25" customHeight="1">
      <c r="G510" s="55"/>
    </row>
    <row r="511" ht="14.25" customHeight="1">
      <c r="G511" s="55"/>
    </row>
    <row r="512" ht="14.25" customHeight="1">
      <c r="G512" s="55"/>
    </row>
    <row r="513" ht="14.25" customHeight="1">
      <c r="G513" s="55"/>
    </row>
    <row r="514" ht="14.25" customHeight="1">
      <c r="G514" s="55"/>
    </row>
    <row r="515" ht="14.25" customHeight="1">
      <c r="G515" s="55"/>
    </row>
    <row r="516" ht="14.25" customHeight="1">
      <c r="G516" s="55"/>
    </row>
    <row r="517" ht="14.25" customHeight="1">
      <c r="G517" s="55"/>
    </row>
    <row r="518" ht="14.25" customHeight="1">
      <c r="G518" s="55"/>
    </row>
    <row r="519" ht="14.25" customHeight="1">
      <c r="G519" s="55"/>
    </row>
    <row r="520" ht="14.25" customHeight="1">
      <c r="G520" s="55"/>
    </row>
    <row r="521" ht="14.25" customHeight="1">
      <c r="G521" s="55"/>
    </row>
    <row r="522" ht="14.25" customHeight="1">
      <c r="G522" s="55"/>
    </row>
    <row r="523" ht="14.25" customHeight="1">
      <c r="G523" s="55"/>
    </row>
    <row r="524" ht="14.25" customHeight="1">
      <c r="G524" s="55"/>
    </row>
    <row r="525" ht="14.25" customHeight="1">
      <c r="G525" s="55"/>
    </row>
    <row r="526" ht="14.25" customHeight="1">
      <c r="G526" s="55"/>
    </row>
    <row r="527" ht="14.25" customHeight="1">
      <c r="G527" s="55"/>
    </row>
    <row r="528" ht="14.25" customHeight="1">
      <c r="G528" s="55"/>
    </row>
    <row r="529" ht="14.25" customHeight="1">
      <c r="G529" s="55"/>
    </row>
    <row r="530" ht="14.25" customHeight="1">
      <c r="G530" s="55"/>
    </row>
    <row r="531" ht="14.25" customHeight="1">
      <c r="G531" s="55"/>
    </row>
    <row r="532" ht="14.25" customHeight="1">
      <c r="G532" s="55"/>
    </row>
    <row r="533" ht="14.25" customHeight="1">
      <c r="G533" s="55"/>
    </row>
    <row r="534" ht="14.25" customHeight="1">
      <c r="G534" s="55"/>
    </row>
    <row r="535" ht="14.25" customHeight="1">
      <c r="G535" s="55"/>
    </row>
    <row r="536" ht="14.25" customHeight="1">
      <c r="G536" s="55"/>
    </row>
    <row r="537" ht="14.25" customHeight="1">
      <c r="G537" s="55"/>
    </row>
    <row r="538" ht="14.25" customHeight="1">
      <c r="G538" s="55"/>
    </row>
    <row r="539" ht="14.25" customHeight="1">
      <c r="G539" s="55"/>
    </row>
    <row r="540" ht="14.25" customHeight="1">
      <c r="G540" s="55"/>
    </row>
    <row r="541" ht="14.25" customHeight="1">
      <c r="G541" s="55"/>
    </row>
    <row r="542" ht="14.25" customHeight="1">
      <c r="G542" s="55"/>
    </row>
    <row r="543" ht="14.25" customHeight="1">
      <c r="G543" s="55"/>
    </row>
    <row r="544" ht="14.25" customHeight="1">
      <c r="G544" s="55"/>
    </row>
    <row r="545" ht="14.25" customHeight="1">
      <c r="G545" s="55"/>
    </row>
    <row r="546" ht="14.25" customHeight="1">
      <c r="G546" s="55"/>
    </row>
    <row r="547" ht="14.25" customHeight="1">
      <c r="G547" s="55"/>
    </row>
    <row r="548" ht="14.25" customHeight="1">
      <c r="G548" s="55"/>
    </row>
    <row r="549" ht="14.25" customHeight="1">
      <c r="G549" s="55"/>
    </row>
    <row r="550" ht="14.25" customHeight="1">
      <c r="G550" s="55"/>
    </row>
    <row r="551" ht="14.25" customHeight="1">
      <c r="G551" s="55"/>
    </row>
    <row r="552" ht="14.25" customHeight="1">
      <c r="G552" s="55"/>
    </row>
    <row r="553" ht="14.25" customHeight="1">
      <c r="G553" s="55"/>
    </row>
    <row r="554" ht="14.25" customHeight="1">
      <c r="G554" s="55"/>
    </row>
    <row r="555" ht="14.25" customHeight="1">
      <c r="G555" s="55"/>
    </row>
    <row r="556" ht="14.25" customHeight="1">
      <c r="G556" s="55"/>
    </row>
    <row r="557" ht="14.25" customHeight="1">
      <c r="G557" s="55"/>
    </row>
    <row r="558" ht="14.25" customHeight="1">
      <c r="G558" s="55"/>
    </row>
    <row r="559" ht="14.25" customHeight="1">
      <c r="G559" s="55"/>
    </row>
    <row r="560" ht="14.25" customHeight="1">
      <c r="G560" s="55"/>
    </row>
    <row r="561" ht="14.25" customHeight="1">
      <c r="G561" s="55"/>
    </row>
    <row r="562" ht="14.25" customHeight="1">
      <c r="G562" s="55"/>
    </row>
    <row r="563" ht="14.25" customHeight="1">
      <c r="G563" s="55"/>
    </row>
    <row r="564" ht="14.25" customHeight="1">
      <c r="G564" s="55"/>
    </row>
    <row r="565" ht="14.25" customHeight="1">
      <c r="G565" s="55"/>
    </row>
    <row r="566" ht="14.25" customHeight="1">
      <c r="G566" s="55"/>
    </row>
    <row r="567" ht="14.25" customHeight="1">
      <c r="G567" s="55"/>
    </row>
    <row r="568" ht="14.25" customHeight="1">
      <c r="G568" s="55"/>
    </row>
    <row r="569" ht="14.25" customHeight="1">
      <c r="G569" s="55"/>
    </row>
    <row r="570" ht="14.25" customHeight="1">
      <c r="G570" s="55"/>
    </row>
    <row r="571" ht="14.25" customHeight="1">
      <c r="G571" s="55"/>
    </row>
    <row r="572" ht="14.25" customHeight="1">
      <c r="G572" s="55"/>
    </row>
    <row r="573" ht="14.25" customHeight="1">
      <c r="G573" s="55"/>
    </row>
    <row r="574" ht="14.25" customHeight="1">
      <c r="G574" s="55"/>
    </row>
    <row r="575" ht="14.25" customHeight="1">
      <c r="G575" s="55"/>
    </row>
    <row r="576" ht="14.25" customHeight="1">
      <c r="G576" s="55"/>
    </row>
    <row r="577" ht="14.25" customHeight="1">
      <c r="G577" s="55"/>
    </row>
    <row r="578" ht="14.25" customHeight="1">
      <c r="G578" s="55"/>
    </row>
    <row r="579" ht="14.25" customHeight="1">
      <c r="G579" s="55"/>
    </row>
    <row r="580" ht="14.25" customHeight="1">
      <c r="G580" s="55"/>
    </row>
    <row r="581" ht="14.25" customHeight="1">
      <c r="G581" s="55"/>
    </row>
    <row r="582" ht="14.25" customHeight="1">
      <c r="G582" s="55"/>
    </row>
    <row r="583" ht="14.25" customHeight="1">
      <c r="G583" s="55"/>
    </row>
    <row r="584" ht="14.25" customHeight="1">
      <c r="G584" s="55"/>
    </row>
    <row r="585" ht="14.25" customHeight="1">
      <c r="G585" s="55"/>
    </row>
    <row r="586" ht="14.25" customHeight="1">
      <c r="G586" s="55"/>
    </row>
    <row r="587" ht="14.25" customHeight="1">
      <c r="G587" s="55"/>
    </row>
    <row r="588" ht="14.25" customHeight="1">
      <c r="G588" s="55"/>
    </row>
    <row r="589" ht="14.25" customHeight="1">
      <c r="G589" s="55"/>
    </row>
    <row r="590" ht="14.25" customHeight="1">
      <c r="G590" s="55"/>
    </row>
    <row r="591" ht="14.25" customHeight="1">
      <c r="G591" s="55"/>
    </row>
    <row r="592" ht="14.25" customHeight="1">
      <c r="G592" s="55"/>
    </row>
    <row r="593" ht="14.25" customHeight="1">
      <c r="G593" s="55"/>
    </row>
    <row r="594" ht="14.25" customHeight="1">
      <c r="G594" s="55"/>
    </row>
    <row r="595" ht="14.25" customHeight="1">
      <c r="G595" s="55"/>
    </row>
    <row r="596" ht="14.25" customHeight="1">
      <c r="G596" s="55"/>
    </row>
    <row r="597" ht="14.25" customHeight="1">
      <c r="G597" s="55"/>
    </row>
    <row r="598" ht="14.25" customHeight="1">
      <c r="G598" s="55"/>
    </row>
    <row r="599" ht="14.25" customHeight="1">
      <c r="G599" s="55"/>
    </row>
    <row r="600" ht="14.25" customHeight="1">
      <c r="G600" s="55"/>
    </row>
    <row r="601" ht="14.25" customHeight="1">
      <c r="G601" s="55"/>
    </row>
    <row r="602" ht="14.25" customHeight="1">
      <c r="G602" s="55"/>
    </row>
    <row r="603" ht="14.25" customHeight="1">
      <c r="G603" s="55"/>
    </row>
    <row r="604" ht="14.25" customHeight="1">
      <c r="G604" s="55"/>
    </row>
    <row r="605" ht="14.25" customHeight="1">
      <c r="G605" s="55"/>
    </row>
    <row r="606" ht="14.25" customHeight="1">
      <c r="G606" s="55"/>
    </row>
    <row r="607" ht="14.25" customHeight="1">
      <c r="G607" s="55"/>
    </row>
    <row r="608" ht="14.25" customHeight="1">
      <c r="G608" s="55"/>
    </row>
    <row r="609" ht="14.25" customHeight="1">
      <c r="G609" s="55"/>
    </row>
    <row r="610" ht="14.25" customHeight="1">
      <c r="G610" s="55"/>
    </row>
    <row r="611" ht="14.25" customHeight="1">
      <c r="G611" s="55"/>
    </row>
    <row r="612" ht="14.25" customHeight="1">
      <c r="G612" s="55"/>
    </row>
    <row r="613" ht="14.25" customHeight="1">
      <c r="G613" s="55"/>
    </row>
    <row r="614" ht="14.25" customHeight="1">
      <c r="G614" s="55"/>
    </row>
    <row r="615" ht="14.25" customHeight="1">
      <c r="G615" s="55"/>
    </row>
    <row r="616" ht="14.25" customHeight="1">
      <c r="G616" s="55"/>
    </row>
    <row r="617" ht="14.25" customHeight="1">
      <c r="G617" s="55"/>
    </row>
    <row r="618" ht="14.25" customHeight="1">
      <c r="G618" s="55"/>
    </row>
    <row r="619" ht="14.25" customHeight="1">
      <c r="G619" s="55"/>
    </row>
    <row r="620" ht="14.25" customHeight="1">
      <c r="G620" s="55"/>
    </row>
    <row r="621" ht="14.25" customHeight="1">
      <c r="G621" s="55"/>
    </row>
    <row r="622" ht="14.25" customHeight="1">
      <c r="G622" s="55"/>
    </row>
    <row r="623" ht="14.25" customHeight="1">
      <c r="G623" s="55"/>
    </row>
    <row r="624" ht="14.25" customHeight="1">
      <c r="G624" s="55"/>
    </row>
    <row r="625" ht="14.25" customHeight="1">
      <c r="G625" s="55"/>
    </row>
    <row r="626" ht="14.25" customHeight="1">
      <c r="G626" s="55"/>
    </row>
    <row r="627" ht="14.25" customHeight="1">
      <c r="G627" s="55"/>
    </row>
    <row r="628" ht="14.25" customHeight="1">
      <c r="G628" s="55"/>
    </row>
    <row r="629" ht="14.25" customHeight="1">
      <c r="G629" s="55"/>
    </row>
    <row r="630" ht="14.25" customHeight="1">
      <c r="G630" s="55"/>
    </row>
    <row r="631" ht="14.25" customHeight="1">
      <c r="G631" s="55"/>
    </row>
    <row r="632" ht="14.25" customHeight="1">
      <c r="G632" s="55"/>
    </row>
    <row r="633" ht="14.25" customHeight="1">
      <c r="G633" s="55"/>
    </row>
    <row r="634" ht="14.25" customHeight="1">
      <c r="G634" s="55"/>
    </row>
    <row r="635" ht="14.25" customHeight="1">
      <c r="G635" s="55"/>
    </row>
    <row r="636" ht="14.25" customHeight="1">
      <c r="G636" s="55"/>
    </row>
    <row r="637" ht="14.25" customHeight="1">
      <c r="G637" s="55"/>
    </row>
    <row r="638" ht="14.25" customHeight="1">
      <c r="G638" s="55"/>
    </row>
    <row r="639" ht="14.25" customHeight="1">
      <c r="G639" s="55"/>
    </row>
    <row r="640" ht="14.25" customHeight="1">
      <c r="G640" s="55"/>
    </row>
    <row r="641" ht="14.25" customHeight="1">
      <c r="G641" s="55"/>
    </row>
    <row r="642" ht="14.25" customHeight="1">
      <c r="G642" s="55"/>
    </row>
    <row r="643" ht="14.25" customHeight="1">
      <c r="G643" s="55"/>
    </row>
    <row r="644" ht="14.25" customHeight="1">
      <c r="G644" s="55"/>
    </row>
    <row r="645" ht="14.25" customHeight="1">
      <c r="G645" s="55"/>
    </row>
    <row r="646" ht="14.25" customHeight="1">
      <c r="G646" s="55"/>
    </row>
    <row r="647" ht="14.25" customHeight="1">
      <c r="G647" s="55"/>
    </row>
    <row r="648" ht="14.25" customHeight="1">
      <c r="G648" s="55"/>
    </row>
    <row r="649" ht="14.25" customHeight="1">
      <c r="G649" s="55"/>
    </row>
    <row r="650" ht="14.25" customHeight="1">
      <c r="G650" s="55"/>
    </row>
    <row r="651" ht="14.25" customHeight="1">
      <c r="G651" s="55"/>
    </row>
    <row r="652" ht="14.25" customHeight="1">
      <c r="G652" s="55"/>
    </row>
    <row r="653" ht="14.25" customHeight="1">
      <c r="G653" s="55"/>
    </row>
    <row r="654" ht="14.25" customHeight="1">
      <c r="G654" s="55"/>
    </row>
    <row r="655" ht="14.25" customHeight="1">
      <c r="G655" s="55"/>
    </row>
    <row r="656" ht="14.25" customHeight="1">
      <c r="G656" s="55"/>
    </row>
    <row r="657" ht="14.25" customHeight="1">
      <c r="G657" s="55"/>
    </row>
    <row r="658" ht="14.25" customHeight="1">
      <c r="G658" s="55"/>
    </row>
    <row r="659" ht="14.25" customHeight="1">
      <c r="G659" s="55"/>
    </row>
    <row r="660" ht="14.25" customHeight="1">
      <c r="G660" s="55"/>
    </row>
    <row r="661" ht="14.25" customHeight="1">
      <c r="G661" s="55"/>
    </row>
    <row r="662" ht="14.25" customHeight="1">
      <c r="G662" s="55"/>
    </row>
    <row r="663" ht="14.25" customHeight="1">
      <c r="G663" s="55"/>
    </row>
    <row r="664" ht="14.25" customHeight="1">
      <c r="G664" s="55"/>
    </row>
    <row r="665" ht="14.25" customHeight="1">
      <c r="G665" s="55"/>
    </row>
    <row r="666" ht="14.25" customHeight="1">
      <c r="G666" s="55"/>
    </row>
    <row r="667" ht="14.25" customHeight="1">
      <c r="G667" s="55"/>
    </row>
    <row r="668" ht="14.25" customHeight="1">
      <c r="G668" s="55"/>
    </row>
    <row r="669" ht="14.25" customHeight="1">
      <c r="G669" s="55"/>
    </row>
    <row r="670" ht="14.25" customHeight="1">
      <c r="G670" s="55"/>
    </row>
    <row r="671" ht="14.25" customHeight="1">
      <c r="G671" s="55"/>
    </row>
    <row r="672" ht="14.25" customHeight="1">
      <c r="G672" s="55"/>
    </row>
    <row r="673" ht="14.25" customHeight="1">
      <c r="G673" s="55"/>
    </row>
    <row r="674" ht="14.25" customHeight="1">
      <c r="G674" s="55"/>
    </row>
    <row r="675" ht="14.25" customHeight="1">
      <c r="G675" s="55"/>
    </row>
    <row r="676" ht="14.25" customHeight="1">
      <c r="G676" s="55"/>
    </row>
    <row r="677" ht="14.25" customHeight="1">
      <c r="G677" s="55"/>
    </row>
    <row r="678" ht="14.25" customHeight="1">
      <c r="G678" s="55"/>
    </row>
    <row r="679" ht="14.25" customHeight="1">
      <c r="G679" s="55"/>
    </row>
    <row r="680" ht="14.25" customHeight="1">
      <c r="G680" s="55"/>
    </row>
    <row r="681" ht="14.25" customHeight="1">
      <c r="G681" s="55"/>
    </row>
    <row r="682" ht="14.25" customHeight="1">
      <c r="G682" s="55"/>
    </row>
    <row r="683" ht="14.25" customHeight="1">
      <c r="G683" s="55"/>
    </row>
    <row r="684" ht="14.25" customHeight="1">
      <c r="G684" s="55"/>
    </row>
    <row r="685" ht="14.25" customHeight="1">
      <c r="G685" s="55"/>
    </row>
    <row r="686" ht="14.25" customHeight="1">
      <c r="G686" s="55"/>
    </row>
    <row r="687" ht="14.25" customHeight="1">
      <c r="G687" s="55"/>
    </row>
    <row r="688" ht="14.25" customHeight="1">
      <c r="G688" s="55"/>
    </row>
    <row r="689" ht="14.25" customHeight="1">
      <c r="G689" s="55"/>
    </row>
    <row r="690" ht="14.25" customHeight="1">
      <c r="G690" s="55"/>
    </row>
    <row r="691" ht="14.25" customHeight="1">
      <c r="G691" s="55"/>
    </row>
    <row r="692" ht="14.25" customHeight="1">
      <c r="G692" s="55"/>
    </row>
    <row r="693" ht="14.25" customHeight="1">
      <c r="G693" s="55"/>
    </row>
    <row r="694" ht="14.25" customHeight="1">
      <c r="G694" s="55"/>
    </row>
    <row r="695" ht="14.25" customHeight="1">
      <c r="G695" s="55"/>
    </row>
    <row r="696" ht="14.25" customHeight="1">
      <c r="G696" s="55"/>
    </row>
    <row r="697" ht="14.25" customHeight="1">
      <c r="G697" s="55"/>
    </row>
    <row r="698" ht="14.25" customHeight="1">
      <c r="G698" s="55"/>
    </row>
    <row r="699" ht="14.25" customHeight="1">
      <c r="G699" s="55"/>
    </row>
    <row r="700" ht="14.25" customHeight="1">
      <c r="G700" s="55"/>
    </row>
    <row r="701" ht="14.25" customHeight="1">
      <c r="G701" s="55"/>
    </row>
    <row r="702" ht="14.25" customHeight="1">
      <c r="G702" s="55"/>
    </row>
    <row r="703" ht="14.25" customHeight="1">
      <c r="G703" s="55"/>
    </row>
    <row r="704" ht="14.25" customHeight="1">
      <c r="G704" s="55"/>
    </row>
    <row r="705" ht="14.25" customHeight="1">
      <c r="G705" s="55"/>
    </row>
    <row r="706" ht="14.25" customHeight="1">
      <c r="G706" s="55"/>
    </row>
    <row r="707" ht="14.25" customHeight="1">
      <c r="G707" s="55"/>
    </row>
    <row r="708" ht="14.25" customHeight="1">
      <c r="G708" s="55"/>
    </row>
    <row r="709" ht="14.25" customHeight="1">
      <c r="G709" s="55"/>
    </row>
    <row r="710" ht="14.25" customHeight="1">
      <c r="G710" s="55"/>
    </row>
    <row r="711" ht="14.25" customHeight="1">
      <c r="G711" s="55"/>
    </row>
    <row r="712" ht="14.25" customHeight="1">
      <c r="G712" s="55"/>
    </row>
    <row r="713" ht="14.25" customHeight="1">
      <c r="G713" s="55"/>
    </row>
    <row r="714" ht="14.25" customHeight="1">
      <c r="G714" s="55"/>
    </row>
    <row r="715" ht="14.25" customHeight="1">
      <c r="G715" s="55"/>
    </row>
    <row r="716" ht="14.25" customHeight="1">
      <c r="G716" s="55"/>
    </row>
    <row r="717" ht="14.25" customHeight="1">
      <c r="G717" s="55"/>
    </row>
    <row r="718" ht="14.25" customHeight="1">
      <c r="G718" s="55"/>
    </row>
    <row r="719" ht="14.25" customHeight="1">
      <c r="G719" s="55"/>
    </row>
    <row r="720" ht="14.25" customHeight="1">
      <c r="G720" s="55"/>
    </row>
    <row r="721" ht="14.25" customHeight="1">
      <c r="G721" s="55"/>
    </row>
    <row r="722" ht="14.25" customHeight="1">
      <c r="G722" s="55"/>
    </row>
    <row r="723" ht="14.25" customHeight="1">
      <c r="G723" s="55"/>
    </row>
    <row r="724" ht="14.25" customHeight="1">
      <c r="G724" s="55"/>
    </row>
    <row r="725" ht="14.25" customHeight="1">
      <c r="G725" s="55"/>
    </row>
    <row r="726" ht="14.25" customHeight="1">
      <c r="G726" s="55"/>
    </row>
    <row r="727" ht="14.25" customHeight="1">
      <c r="G727" s="55"/>
    </row>
    <row r="728" ht="14.25" customHeight="1">
      <c r="G728" s="55"/>
    </row>
    <row r="729" ht="14.25" customHeight="1">
      <c r="G729" s="55"/>
    </row>
    <row r="730" ht="14.25" customHeight="1">
      <c r="G730" s="55"/>
    </row>
    <row r="731" ht="14.25" customHeight="1">
      <c r="G731" s="55"/>
    </row>
    <row r="732" ht="14.25" customHeight="1">
      <c r="G732" s="55"/>
    </row>
    <row r="733" ht="14.25" customHeight="1">
      <c r="G733" s="55"/>
    </row>
    <row r="734" ht="14.25" customHeight="1">
      <c r="G734" s="55"/>
    </row>
    <row r="735" ht="14.25" customHeight="1">
      <c r="G735" s="55"/>
    </row>
    <row r="736" ht="14.25" customHeight="1">
      <c r="G736" s="55"/>
    </row>
    <row r="737" ht="14.25" customHeight="1">
      <c r="G737" s="55"/>
    </row>
    <row r="738" ht="14.25" customHeight="1">
      <c r="G738" s="55"/>
    </row>
    <row r="739" ht="14.25" customHeight="1">
      <c r="G739" s="55"/>
    </row>
    <row r="740" ht="14.25" customHeight="1">
      <c r="G740" s="55"/>
    </row>
    <row r="741" ht="14.25" customHeight="1">
      <c r="G741" s="55"/>
    </row>
    <row r="742" ht="14.25" customHeight="1">
      <c r="G742" s="55"/>
    </row>
    <row r="743" ht="14.25" customHeight="1">
      <c r="G743" s="55"/>
    </row>
    <row r="744" ht="14.25" customHeight="1">
      <c r="G744" s="55"/>
    </row>
    <row r="745" ht="14.25" customHeight="1">
      <c r="G745" s="55"/>
    </row>
    <row r="746" ht="14.25" customHeight="1">
      <c r="G746" s="55"/>
    </row>
    <row r="747" ht="14.25" customHeight="1">
      <c r="G747" s="55"/>
    </row>
    <row r="748" ht="14.25" customHeight="1">
      <c r="G748" s="55"/>
    </row>
    <row r="749" ht="14.25" customHeight="1">
      <c r="G749" s="55"/>
    </row>
    <row r="750" ht="14.25" customHeight="1">
      <c r="G750" s="55"/>
    </row>
    <row r="751" ht="14.25" customHeight="1">
      <c r="G751" s="55"/>
    </row>
    <row r="752" ht="14.25" customHeight="1">
      <c r="G752" s="55"/>
    </row>
    <row r="753" ht="14.25" customHeight="1">
      <c r="G753" s="55"/>
    </row>
    <row r="754" ht="14.25" customHeight="1">
      <c r="G754" s="55"/>
    </row>
    <row r="755" ht="14.25" customHeight="1">
      <c r="G755" s="55"/>
    </row>
    <row r="756" ht="14.25" customHeight="1">
      <c r="G756" s="55"/>
    </row>
    <row r="757" ht="14.25" customHeight="1">
      <c r="G757" s="55"/>
    </row>
    <row r="758" ht="14.25" customHeight="1">
      <c r="G758" s="55"/>
    </row>
    <row r="759" ht="14.25" customHeight="1">
      <c r="G759" s="55"/>
    </row>
    <row r="760" ht="14.25" customHeight="1">
      <c r="G760" s="55"/>
    </row>
    <row r="761" ht="14.25" customHeight="1">
      <c r="G761" s="55"/>
    </row>
    <row r="762" ht="14.25" customHeight="1">
      <c r="G762" s="55"/>
    </row>
    <row r="763" ht="14.25" customHeight="1">
      <c r="G763" s="55"/>
    </row>
    <row r="764" ht="14.25" customHeight="1">
      <c r="G764" s="55"/>
    </row>
    <row r="765" ht="14.25" customHeight="1">
      <c r="G765" s="55"/>
    </row>
    <row r="766" ht="14.25" customHeight="1">
      <c r="G766" s="55"/>
    </row>
    <row r="767" ht="14.25" customHeight="1">
      <c r="G767" s="55"/>
    </row>
    <row r="768" ht="14.25" customHeight="1">
      <c r="G768" s="55"/>
    </row>
    <row r="769" ht="14.25" customHeight="1">
      <c r="G769" s="55"/>
    </row>
    <row r="770" ht="14.25" customHeight="1">
      <c r="G770" s="55"/>
    </row>
    <row r="771" ht="14.25" customHeight="1">
      <c r="G771" s="55"/>
    </row>
    <row r="772" ht="14.25" customHeight="1">
      <c r="G772" s="55"/>
    </row>
    <row r="773" ht="14.25" customHeight="1">
      <c r="G773" s="55"/>
    </row>
    <row r="774" ht="14.25" customHeight="1">
      <c r="G774" s="55"/>
    </row>
    <row r="775" ht="14.25" customHeight="1">
      <c r="G775" s="55"/>
    </row>
    <row r="776" ht="14.25" customHeight="1">
      <c r="G776" s="55"/>
    </row>
    <row r="777" ht="14.25" customHeight="1">
      <c r="G777" s="55"/>
    </row>
    <row r="778" ht="14.25" customHeight="1">
      <c r="G778" s="55"/>
    </row>
    <row r="779" ht="14.25" customHeight="1">
      <c r="G779" s="55"/>
    </row>
    <row r="780" ht="14.25" customHeight="1">
      <c r="G780" s="55"/>
    </row>
    <row r="781" ht="14.25" customHeight="1">
      <c r="G781" s="55"/>
    </row>
    <row r="782" ht="14.25" customHeight="1">
      <c r="G782" s="55"/>
    </row>
    <row r="783" ht="14.25" customHeight="1">
      <c r="G783" s="55"/>
    </row>
    <row r="784" ht="14.25" customHeight="1">
      <c r="G784" s="55"/>
    </row>
    <row r="785" ht="14.25" customHeight="1">
      <c r="G785" s="55"/>
    </row>
    <row r="786" ht="14.25" customHeight="1">
      <c r="G786" s="55"/>
    </row>
    <row r="787" ht="14.25" customHeight="1">
      <c r="G787" s="55"/>
    </row>
    <row r="788" ht="14.25" customHeight="1">
      <c r="G788" s="55"/>
    </row>
    <row r="789" ht="14.25" customHeight="1">
      <c r="G789" s="55"/>
    </row>
    <row r="790" ht="14.25" customHeight="1">
      <c r="G790" s="55"/>
    </row>
    <row r="791" ht="14.25" customHeight="1">
      <c r="G791" s="55"/>
    </row>
    <row r="792" ht="14.25" customHeight="1">
      <c r="G792" s="55"/>
    </row>
    <row r="793" ht="14.25" customHeight="1">
      <c r="G793" s="55"/>
    </row>
    <row r="794" ht="14.25" customHeight="1">
      <c r="G794" s="55"/>
    </row>
    <row r="795" ht="14.25" customHeight="1">
      <c r="G795" s="55"/>
    </row>
    <row r="796" ht="14.25" customHeight="1">
      <c r="G796" s="55"/>
    </row>
    <row r="797" ht="14.25" customHeight="1">
      <c r="G797" s="55"/>
    </row>
    <row r="798" ht="14.25" customHeight="1">
      <c r="G798" s="55"/>
    </row>
    <row r="799" ht="14.25" customHeight="1">
      <c r="G799" s="55"/>
    </row>
    <row r="800" ht="14.25" customHeight="1">
      <c r="G800" s="55"/>
    </row>
    <row r="801" ht="14.25" customHeight="1">
      <c r="G801" s="55"/>
    </row>
    <row r="802" ht="14.25" customHeight="1">
      <c r="G802" s="55"/>
    </row>
    <row r="803" ht="14.25" customHeight="1">
      <c r="G803" s="55"/>
    </row>
    <row r="804" ht="14.25" customHeight="1">
      <c r="G804" s="55"/>
    </row>
    <row r="805" ht="14.25" customHeight="1">
      <c r="G805" s="55"/>
    </row>
    <row r="806" ht="14.25" customHeight="1">
      <c r="G806" s="55"/>
    </row>
    <row r="807" ht="14.25" customHeight="1">
      <c r="G807" s="55"/>
    </row>
    <row r="808" ht="14.25" customHeight="1">
      <c r="G808" s="55"/>
    </row>
    <row r="809" ht="14.25" customHeight="1">
      <c r="G809" s="55"/>
    </row>
    <row r="810" ht="14.25" customHeight="1">
      <c r="G810" s="55"/>
    </row>
    <row r="811" ht="14.25" customHeight="1">
      <c r="G811" s="55"/>
    </row>
    <row r="812" ht="14.25" customHeight="1">
      <c r="G812" s="55"/>
    </row>
    <row r="813" ht="14.25" customHeight="1">
      <c r="G813" s="55"/>
    </row>
    <row r="814" ht="14.25" customHeight="1">
      <c r="G814" s="55"/>
    </row>
    <row r="815" ht="14.25" customHeight="1">
      <c r="G815" s="55"/>
    </row>
    <row r="816" ht="14.25" customHeight="1">
      <c r="G816" s="55"/>
    </row>
    <row r="817" ht="14.25" customHeight="1">
      <c r="G817" s="55"/>
    </row>
    <row r="818" ht="14.25" customHeight="1">
      <c r="G818" s="55"/>
    </row>
    <row r="819" ht="14.25" customHeight="1">
      <c r="G819" s="55"/>
    </row>
    <row r="820" ht="14.25" customHeight="1">
      <c r="G820" s="55"/>
    </row>
    <row r="821" ht="14.25" customHeight="1">
      <c r="G821" s="55"/>
    </row>
    <row r="822" ht="14.25" customHeight="1">
      <c r="G822" s="55"/>
    </row>
    <row r="823" ht="14.25" customHeight="1">
      <c r="G823" s="55"/>
    </row>
    <row r="824" ht="14.25" customHeight="1">
      <c r="G824" s="55"/>
    </row>
    <row r="825" ht="14.25" customHeight="1">
      <c r="G825" s="55"/>
    </row>
    <row r="826" ht="14.25" customHeight="1">
      <c r="G826" s="55"/>
    </row>
    <row r="827" ht="14.25" customHeight="1">
      <c r="G827" s="55"/>
    </row>
    <row r="828" ht="14.25" customHeight="1">
      <c r="G828" s="55"/>
    </row>
    <row r="829" ht="14.25" customHeight="1">
      <c r="G829" s="55"/>
    </row>
    <row r="830" ht="14.25" customHeight="1">
      <c r="G830" s="55"/>
    </row>
    <row r="831" ht="14.25" customHeight="1">
      <c r="G831" s="55"/>
    </row>
    <row r="832" ht="14.25" customHeight="1">
      <c r="G832" s="55"/>
    </row>
    <row r="833" ht="14.25" customHeight="1">
      <c r="G833" s="55"/>
    </row>
    <row r="834" ht="14.25" customHeight="1">
      <c r="G834" s="55"/>
    </row>
    <row r="835" ht="14.25" customHeight="1">
      <c r="G835" s="55"/>
    </row>
    <row r="836" ht="14.25" customHeight="1">
      <c r="G836" s="55"/>
    </row>
    <row r="837" ht="14.25" customHeight="1">
      <c r="G837" s="55"/>
    </row>
    <row r="838" ht="14.25" customHeight="1">
      <c r="G838" s="55"/>
    </row>
    <row r="839" ht="14.25" customHeight="1">
      <c r="G839" s="55"/>
    </row>
    <row r="840" ht="14.25" customHeight="1">
      <c r="G840" s="55"/>
    </row>
    <row r="841" ht="14.25" customHeight="1">
      <c r="G841" s="55"/>
    </row>
    <row r="842" ht="14.25" customHeight="1">
      <c r="G842" s="55"/>
    </row>
    <row r="843" ht="14.25" customHeight="1">
      <c r="G843" s="55"/>
    </row>
    <row r="844" ht="14.25" customHeight="1">
      <c r="G844" s="55"/>
    </row>
    <row r="845" ht="14.25" customHeight="1">
      <c r="G845" s="55"/>
    </row>
    <row r="846" ht="14.25" customHeight="1">
      <c r="G846" s="55"/>
    </row>
    <row r="847" ht="14.25" customHeight="1">
      <c r="G847" s="55"/>
    </row>
    <row r="848" ht="14.25" customHeight="1">
      <c r="G848" s="55"/>
    </row>
    <row r="849" ht="14.25" customHeight="1">
      <c r="G849" s="55"/>
    </row>
    <row r="850" ht="14.25" customHeight="1">
      <c r="G850" s="55"/>
    </row>
    <row r="851" ht="14.25" customHeight="1">
      <c r="G851" s="55"/>
    </row>
    <row r="852" ht="14.25" customHeight="1">
      <c r="G852" s="55"/>
    </row>
    <row r="853" ht="14.25" customHeight="1">
      <c r="G853" s="55"/>
    </row>
    <row r="854" ht="14.25" customHeight="1">
      <c r="G854" s="55"/>
    </row>
    <row r="855" ht="14.25" customHeight="1">
      <c r="G855" s="55"/>
    </row>
    <row r="856" ht="14.25" customHeight="1">
      <c r="G856" s="55"/>
    </row>
    <row r="857" ht="14.25" customHeight="1">
      <c r="G857" s="55"/>
    </row>
    <row r="858" ht="14.25" customHeight="1">
      <c r="G858" s="55"/>
    </row>
    <row r="859" ht="14.25" customHeight="1">
      <c r="G859" s="55"/>
    </row>
    <row r="860" ht="14.25" customHeight="1">
      <c r="G860" s="55"/>
    </row>
    <row r="861" ht="14.25" customHeight="1">
      <c r="G861" s="55"/>
    </row>
    <row r="862" ht="14.25" customHeight="1">
      <c r="G862" s="55"/>
    </row>
    <row r="863" ht="14.25" customHeight="1">
      <c r="G863" s="55"/>
    </row>
    <row r="864" ht="14.25" customHeight="1">
      <c r="G864" s="55"/>
    </row>
    <row r="865" ht="14.25" customHeight="1">
      <c r="G865" s="55"/>
    </row>
    <row r="866" ht="14.25" customHeight="1">
      <c r="G866" s="55"/>
    </row>
    <row r="867" ht="14.25" customHeight="1">
      <c r="G867" s="55"/>
    </row>
    <row r="868" ht="14.25" customHeight="1">
      <c r="G868" s="55"/>
    </row>
    <row r="869" ht="14.25" customHeight="1">
      <c r="G869" s="55"/>
    </row>
    <row r="870" ht="14.25" customHeight="1">
      <c r="G870" s="55"/>
    </row>
    <row r="871" ht="14.25" customHeight="1">
      <c r="G871" s="55"/>
    </row>
    <row r="872" ht="14.25" customHeight="1">
      <c r="G872" s="55"/>
    </row>
    <row r="873" ht="14.25" customHeight="1">
      <c r="G873" s="55"/>
    </row>
    <row r="874" ht="14.25" customHeight="1">
      <c r="G874" s="55"/>
    </row>
    <row r="875" ht="14.25" customHeight="1">
      <c r="G875" s="55"/>
    </row>
    <row r="876" ht="14.25" customHeight="1">
      <c r="G876" s="55"/>
    </row>
    <row r="877" ht="14.25" customHeight="1">
      <c r="G877" s="55"/>
    </row>
    <row r="878" ht="14.25" customHeight="1">
      <c r="G878" s="55"/>
    </row>
    <row r="879" ht="14.25" customHeight="1">
      <c r="G879" s="55"/>
    </row>
    <row r="880" ht="14.25" customHeight="1">
      <c r="G880" s="55"/>
    </row>
    <row r="881" ht="14.25" customHeight="1">
      <c r="G881" s="55"/>
    </row>
    <row r="882" ht="14.25" customHeight="1">
      <c r="G882" s="55"/>
    </row>
    <row r="883" ht="14.25" customHeight="1">
      <c r="G883" s="55"/>
    </row>
    <row r="884" ht="14.25" customHeight="1">
      <c r="G884" s="55"/>
    </row>
    <row r="885" ht="14.25" customHeight="1">
      <c r="G885" s="55"/>
    </row>
    <row r="886" ht="14.25" customHeight="1">
      <c r="G886" s="55"/>
    </row>
    <row r="887" ht="14.25" customHeight="1">
      <c r="G887" s="55"/>
    </row>
    <row r="888" ht="14.25" customHeight="1">
      <c r="G888" s="55"/>
    </row>
    <row r="889" ht="14.25" customHeight="1">
      <c r="G889" s="55"/>
    </row>
    <row r="890" ht="14.25" customHeight="1">
      <c r="G890" s="55"/>
    </row>
    <row r="891" ht="14.25" customHeight="1">
      <c r="G891" s="55"/>
    </row>
    <row r="892" ht="14.25" customHeight="1">
      <c r="G892" s="55"/>
    </row>
    <row r="893" ht="14.25" customHeight="1">
      <c r="G893" s="55"/>
    </row>
    <row r="894" ht="14.25" customHeight="1">
      <c r="G894" s="55"/>
    </row>
    <row r="895" ht="14.25" customHeight="1">
      <c r="G895" s="55"/>
    </row>
    <row r="896" ht="14.25" customHeight="1">
      <c r="G896" s="55"/>
    </row>
    <row r="897" ht="14.25" customHeight="1">
      <c r="G897" s="55"/>
    </row>
    <row r="898" ht="14.25" customHeight="1">
      <c r="G898" s="55"/>
    </row>
    <row r="899" ht="14.25" customHeight="1">
      <c r="G899" s="55"/>
    </row>
    <row r="900" ht="14.25" customHeight="1">
      <c r="G900" s="55"/>
    </row>
    <row r="901" ht="14.25" customHeight="1">
      <c r="G901" s="55"/>
    </row>
    <row r="902" ht="14.25" customHeight="1">
      <c r="G902" s="55"/>
    </row>
    <row r="903" ht="14.25" customHeight="1">
      <c r="G903" s="55"/>
    </row>
    <row r="904" ht="14.25" customHeight="1">
      <c r="G904" s="55"/>
    </row>
    <row r="905" ht="14.25" customHeight="1">
      <c r="G905" s="55"/>
    </row>
    <row r="906" ht="14.25" customHeight="1">
      <c r="G906" s="55"/>
    </row>
  </sheetData>
  <mergeCells count="5">
    <mergeCell ref="F8:G8"/>
    <mergeCell ref="F10:G10"/>
    <mergeCell ref="B12:B15"/>
    <mergeCell ref="B18:B21"/>
    <mergeCell ref="B23:B24"/>
  </mergeCells>
  <conditionalFormatting sqref="C1">
    <cfRule type="notContainsBlanks" dxfId="8" priority="1">
      <formula>LEN(TRIM(C1))&gt;0</formula>
    </cfRule>
  </conditionalFormatting>
  <dataValidations>
    <dataValidation type="list" allowBlank="1" sqref="C40">
      <formula1>"Gross Margin,Net Margin"</formula1>
    </dataValidation>
    <dataValidation type="list" allowBlank="1" sqref="C3">
      <formula1>"Nómina,Prestación de Servicios,Deel/Ontop"</formula1>
    </dataValidation>
    <dataValidation type="list" allowBlank="1" showErrorMessage="1" sqref="C5">
      <formula1>"Cold Calling,Mercadeo,Directo,Network - Cold Calling,Referido Imagine"</formula1>
    </dataValidation>
    <dataValidation type="list" allowBlank="1" showErrorMessage="1" sqref="D27:D36">
      <formula1>"Nómina,P. Servicios"</formula1>
    </dataValidation>
    <dataValidation type="list" allowBlank="1" sqref="B27:B36">
      <formula1>'Parámetros'!$A$2:$A$113</formula1>
    </dataValidation>
    <dataValidation type="list" allowBlank="1" sqref="C2">
      <formula1>'Parámetros'!$A$118:$A$123</formula1>
    </dataValidation>
    <dataValidation type="list" allowBlank="1" sqref="C6">
      <formula1>"Perfil Sr.,Perfil Semi senior,Perfil Jr."</formula1>
    </dataValidation>
    <dataValidation type="list" allowBlank="1" sqref="D40">
      <formula1>"COP,USD"</formula1>
    </dataValidation>
  </dataValidations>
  <printOptions/>
  <pageMargins bottom="0.75" footer="0.0" header="0.0" left="0.7" right="0.7" top="0.75"/>
  <pageSetup orientation="portrait"/>
  <drawing r:id="rId1"/>
  <tableParts count="3">
    <tablePart r:id="rId5"/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4.14"/>
    <col customWidth="1" min="2" max="2" width="38.43"/>
    <col customWidth="1" min="3" max="3" width="23.14"/>
    <col customWidth="1" min="4" max="4" width="16.29"/>
    <col customWidth="1" min="5" max="5" width="14.86"/>
    <col customWidth="1" min="6" max="6" width="18.0"/>
    <col customWidth="1" min="7" max="7" width="16.29"/>
    <col customWidth="1" min="8" max="8" width="16.14"/>
    <col customWidth="1" min="9" max="9" width="12.0"/>
    <col customWidth="1" min="10" max="10" width="26.57"/>
    <col customWidth="1" min="11" max="11" width="14.86"/>
    <col customWidth="1" min="12" max="12" width="14.71"/>
    <col customWidth="1" min="13" max="13" width="17.29"/>
    <col customWidth="1" min="14" max="14" width="15.57"/>
    <col customWidth="1" min="15" max="15" width="10.71"/>
    <col customWidth="1" min="16" max="16" width="23.14"/>
    <col customWidth="1" min="17" max="17" width="17.57"/>
    <col customWidth="1" min="18" max="18" width="15.71"/>
    <col customWidth="1" min="19" max="19" width="18.86"/>
    <col customWidth="1" hidden="1" min="20" max="20" width="13.71"/>
    <col customWidth="1" hidden="1" min="21" max="21" width="13.43"/>
    <col customWidth="1" hidden="1" min="22" max="32" width="10.71"/>
  </cols>
  <sheetData>
    <row r="1" ht="8.25" customHeight="1">
      <c r="A1" s="200"/>
      <c r="B1" s="200"/>
      <c r="C1" s="200"/>
      <c r="D1" s="200"/>
      <c r="E1" s="200"/>
      <c r="F1" s="200"/>
      <c r="G1" s="201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</row>
    <row r="2" ht="15.75" customHeight="1">
      <c r="A2" s="200"/>
      <c r="B2" s="202" t="s">
        <v>150</v>
      </c>
      <c r="C2" s="203" t="s">
        <v>94</v>
      </c>
      <c r="D2" s="204"/>
      <c r="E2" s="200"/>
      <c r="F2" s="200"/>
      <c r="G2" s="205"/>
      <c r="H2" s="206"/>
      <c r="I2" s="206"/>
      <c r="J2" s="207"/>
      <c r="K2" s="206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0"/>
      <c r="AD2" s="200"/>
      <c r="AE2" s="200"/>
      <c r="AF2" s="200"/>
    </row>
    <row r="3" ht="15.75" customHeight="1">
      <c r="A3" s="200"/>
      <c r="B3" s="202" t="s">
        <v>25</v>
      </c>
      <c r="C3" s="208" t="s">
        <v>151</v>
      </c>
      <c r="D3" s="16"/>
      <c r="E3" s="200"/>
      <c r="F3" s="209"/>
      <c r="G3" s="210"/>
      <c r="H3" s="200"/>
      <c r="I3" s="200"/>
      <c r="J3" s="211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200"/>
    </row>
    <row r="4" ht="15.75" customHeight="1">
      <c r="A4" s="200"/>
      <c r="B4" s="202" t="s">
        <v>152</v>
      </c>
      <c r="C4" s="212">
        <v>0.05</v>
      </c>
      <c r="D4" s="16"/>
      <c r="E4" s="200"/>
      <c r="H4" s="200"/>
      <c r="I4" s="200"/>
      <c r="J4" s="211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</row>
    <row r="5" ht="15.75" customHeight="1">
      <c r="A5" s="200"/>
      <c r="B5" s="213" t="s">
        <v>153</v>
      </c>
      <c r="C5" s="214" t="s">
        <v>134</v>
      </c>
      <c r="D5" s="16"/>
      <c r="F5" s="90"/>
      <c r="G5" s="215"/>
      <c r="I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</row>
    <row r="6" ht="15.75" customHeight="1">
      <c r="A6" s="200"/>
      <c r="B6" s="202" t="s">
        <v>154</v>
      </c>
      <c r="C6" s="214" t="s">
        <v>148</v>
      </c>
      <c r="D6" s="216"/>
      <c r="F6" s="217"/>
      <c r="G6" s="215"/>
      <c r="I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0"/>
      <c r="AA6" s="200"/>
      <c r="AB6" s="200"/>
      <c r="AC6" s="200"/>
      <c r="AD6" s="200"/>
      <c r="AE6" s="200"/>
      <c r="AF6" s="200"/>
    </row>
    <row r="7" ht="15.75" customHeight="1">
      <c r="A7" s="200"/>
      <c r="B7" s="202" t="s">
        <v>28</v>
      </c>
      <c r="C7" s="218">
        <v>0.0</v>
      </c>
      <c r="D7" s="216"/>
      <c r="F7" s="219" t="s">
        <v>155</v>
      </c>
      <c r="G7" s="220">
        <f>VLOOKUP($C$2,'Parámetros'!$A$118:$D$124,3,0)</f>
        <v>0.4</v>
      </c>
      <c r="I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  <c r="AA7" s="200"/>
      <c r="AB7" s="200"/>
      <c r="AC7" s="200"/>
      <c r="AD7" s="200"/>
      <c r="AE7" s="200"/>
      <c r="AF7" s="200"/>
    </row>
    <row r="8" ht="15.75" customHeight="1">
      <c r="A8" s="200"/>
      <c r="B8" s="202" t="s">
        <v>156</v>
      </c>
      <c r="C8" s="218">
        <v>0.0</v>
      </c>
      <c r="D8" s="204"/>
      <c r="F8" s="221" t="str">
        <f>IF(D13&gt;=G7,"Dentro del margen","¡Por debajo del margen!")</f>
        <v>¡Por debajo del margen!</v>
      </c>
      <c r="I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</row>
    <row r="9" ht="15.75" customHeight="1">
      <c r="A9" s="200"/>
      <c r="B9" s="202" t="s">
        <v>157</v>
      </c>
      <c r="C9" s="222"/>
      <c r="D9" s="204"/>
      <c r="E9" s="200"/>
      <c r="H9" s="200"/>
      <c r="I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200"/>
      <c r="AC9" s="200"/>
      <c r="AD9" s="200"/>
      <c r="AE9" s="200"/>
      <c r="AF9" s="200"/>
    </row>
    <row r="10" ht="15.75" customHeight="1">
      <c r="A10" s="200"/>
      <c r="B10" s="202" t="s">
        <v>158</v>
      </c>
      <c r="C10" s="208">
        <v>4.0</v>
      </c>
      <c r="D10" s="16"/>
      <c r="E10" s="200"/>
      <c r="H10" s="201"/>
      <c r="I10" s="223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</row>
    <row r="11" ht="15.75" customHeight="1">
      <c r="A11" s="200"/>
      <c r="B11" s="224"/>
      <c r="C11" s="16"/>
      <c r="D11" s="16"/>
      <c r="E11" s="200"/>
      <c r="F11" s="202" t="s">
        <v>44</v>
      </c>
      <c r="G11" s="225" t="s">
        <v>45</v>
      </c>
      <c r="H11" s="223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</row>
    <row r="12" ht="18.75" customHeight="1">
      <c r="B12" s="226" t="s">
        <v>7</v>
      </c>
      <c r="C12" s="17" t="s">
        <v>6</v>
      </c>
      <c r="D12" s="227">
        <f>F12*C4+IFS(C5="Cold Calling",2%*138.3522%,C5="Mercadeo",2%*101%,C5="Network - Cold Calling",2%*138.3522%,C5="Referido Imagine",5%*138.3522%,C5="Directo",0)*F12+ifs(AND(C6="Perfil Jr.",C2="Network"),200000,AND(C6="Perfil Sr.",C2="Network"),350000,AND(C2="Network",C6="Perfil Semi Senior"), 600000,C2="Proyecto",1,C2="Equipo dedicado",1,C2="Servidores",1,C2="Enterprise",1,C2="Descubrimiento",1)</f>
        <v>6629033.258</v>
      </c>
      <c r="E12" s="228" t="s">
        <v>159</v>
      </c>
      <c r="F12" s="229">
        <f>((C61+C57+C59)/((1-D13-'Parámetros'!L8*C7)))*IF(C8=1,102.4%,1)</f>
        <v>132580645.2</v>
      </c>
      <c r="G12" s="230">
        <f>F12/'Parámetros'!$L$3</f>
        <v>37346.66061</v>
      </c>
      <c r="H12" s="211"/>
      <c r="I12" s="15">
        <v>160.0</v>
      </c>
      <c r="J12" s="15">
        <v>1.0</v>
      </c>
      <c r="M12" s="23"/>
      <c r="N12" s="24"/>
      <c r="O12" s="24"/>
    </row>
    <row r="13" ht="18.75" customHeight="1">
      <c r="B13" s="27"/>
      <c r="C13" s="17" t="s">
        <v>9</v>
      </c>
      <c r="D13" s="231">
        <v>0.38</v>
      </c>
      <c r="E13" s="228" t="s">
        <v>160</v>
      </c>
      <c r="F13" s="229">
        <f>F12/C10</f>
        <v>33145161.29</v>
      </c>
      <c r="G13" s="230">
        <f>F13/'Parámetros'!$L$3</f>
        <v>9336.665152</v>
      </c>
      <c r="I13" s="15">
        <v>12.0</v>
      </c>
      <c r="J13" s="232">
        <f>I13*J12/I12</f>
        <v>0.075</v>
      </c>
      <c r="M13" s="23"/>
      <c r="N13" s="24"/>
      <c r="O13" s="24"/>
    </row>
    <row r="14" ht="18.75" customHeight="1">
      <c r="B14" s="27"/>
      <c r="C14" s="17" t="s">
        <v>15</v>
      </c>
      <c r="D14" s="227">
        <f>F12*'Parámetros'!L5</f>
        <v>914806.4516</v>
      </c>
      <c r="E14" s="228" t="s">
        <v>161</v>
      </c>
      <c r="F14" s="229">
        <f>F12/SUM(D43:D52)/C10</f>
        <v>61379.92832</v>
      </c>
      <c r="G14" s="230">
        <f>G12/SUM(D43:D52)/C10</f>
        <v>17.29012065</v>
      </c>
      <c r="L14" s="22"/>
      <c r="O14" s="28"/>
      <c r="P14" s="28"/>
      <c r="Q14" s="28"/>
    </row>
    <row r="15" ht="14.25" customHeight="1">
      <c r="B15" s="43"/>
      <c r="C15" s="17" t="s">
        <v>18</v>
      </c>
      <c r="D15" s="233">
        <f>(F12-C62-D14-D12-C7*'Parámetros'!L8*F12-IF(C8=1,2.4%,0)*F12)/F12</f>
        <v>0.0991768713</v>
      </c>
      <c r="F15" s="23"/>
      <c r="G15" s="55"/>
      <c r="I15" s="15" t="s">
        <v>162</v>
      </c>
      <c r="J15" s="234">
        <v>3127889.861152942</v>
      </c>
      <c r="L15" s="32"/>
      <c r="M15" s="33"/>
      <c r="O15" s="28"/>
      <c r="P15" s="28"/>
      <c r="Q15" s="28"/>
    </row>
    <row r="16" ht="14.25" customHeight="1">
      <c r="D16" s="235"/>
      <c r="F16" s="236"/>
      <c r="G16" s="55"/>
      <c r="H16" s="237"/>
      <c r="I16" s="238" t="s">
        <v>163</v>
      </c>
      <c r="J16" s="239">
        <v>5044796.574575055</v>
      </c>
      <c r="L16" s="32"/>
      <c r="M16" s="37"/>
      <c r="N16" s="38"/>
      <c r="O16" s="39"/>
    </row>
    <row r="17" ht="14.25" customHeight="1" collapsed="1">
      <c r="F17" s="236"/>
      <c r="G17" s="55"/>
      <c r="L17" s="22"/>
    </row>
    <row r="18" ht="15.75" hidden="1" customHeight="1" outlineLevel="1">
      <c r="B18" s="226" t="s">
        <v>22</v>
      </c>
      <c r="C18" s="17" t="s">
        <v>6</v>
      </c>
      <c r="D18" s="227">
        <f>F18*C4+IFS(C5="Cold Calling",2%*138.3522%,C5="Mercadeo",2%*101%,C5="Network - Cold Calling",2%*138.3522%,C5="Referido Imagine",5%*138.3522%,C5="Directo",0)*F18</f>
        <v>7528453.228</v>
      </c>
      <c r="E18" s="228" t="s">
        <v>159</v>
      </c>
      <c r="F18" s="229">
        <f>+C62/((1-IFS(C5="Cold Calling",2%*138.3522%,C5="Mercadeo",2%*101%,C5="Network - Cold Calling",2%*138.3522%,C5="Referido Imagine",5%*138.3522%,C5="Directo",0)-C4-D19-'Parámetros'!L5-C7*'Parámetros'!L8))*IF(C8=1,102.4%,1)</f>
        <v>150569064.6</v>
      </c>
      <c r="G18" s="230">
        <f>F18/'Parámetros'!L3</f>
        <v>42413.821</v>
      </c>
      <c r="L18" s="22"/>
    </row>
    <row r="19" ht="16.5" hidden="1" customHeight="1" outlineLevel="1">
      <c r="B19" s="27"/>
      <c r="C19" s="17" t="s">
        <v>18</v>
      </c>
      <c r="D19" s="231">
        <v>0.2</v>
      </c>
      <c r="E19" s="228" t="s">
        <v>160</v>
      </c>
      <c r="F19" s="229">
        <f>F18/C10</f>
        <v>37642266.14</v>
      </c>
      <c r="G19" s="230">
        <f>G18/C10</f>
        <v>10603.45525</v>
      </c>
      <c r="L19" s="32"/>
      <c r="M19" s="33"/>
    </row>
    <row r="20" ht="17.25" hidden="1" customHeight="1" outlineLevel="1">
      <c r="B20" s="27"/>
      <c r="C20" s="17" t="s">
        <v>15</v>
      </c>
      <c r="D20" s="227">
        <f>F18*'Parámetros'!L5</f>
        <v>1038926.545</v>
      </c>
      <c r="E20" s="228" t="s">
        <v>161</v>
      </c>
      <c r="F20" s="229">
        <f>F18/SUM(D43:D52)/C10</f>
        <v>69707.90026</v>
      </c>
      <c r="G20" s="230">
        <f>G18/SUM(D43:D52)/C10</f>
        <v>19.63602824</v>
      </c>
      <c r="L20" s="22"/>
      <c r="M20" s="55"/>
    </row>
    <row r="21" ht="14.25" hidden="1" customHeight="1" outlineLevel="1">
      <c r="B21" s="43"/>
      <c r="C21" s="17" t="s">
        <v>9</v>
      </c>
      <c r="D21" s="240">
        <f>(((F18-C57-C59-C61-C7*'Parámetros'!L8*F18)-IF(C8=1,2.4%,0)*F18)/F18)</f>
        <v>0.4540711251</v>
      </c>
      <c r="E21" s="241"/>
      <c r="G21" s="55"/>
    </row>
    <row r="22" ht="14.25" customHeight="1">
      <c r="D22" s="55"/>
      <c r="E22" s="23"/>
      <c r="F22" s="242"/>
      <c r="G22" s="55"/>
    </row>
    <row r="23" ht="14.25" customHeight="1">
      <c r="B23" s="243" t="str">
        <f>'Parámetros'!B149</f>
        <v>Considerar como mínimo por cada Dev: 
 PM:33%, QA:20%, Diseño:10%</v>
      </c>
      <c r="C23" s="244"/>
      <c r="G23" s="55"/>
      <c r="M23" s="245"/>
    </row>
    <row r="24" ht="15.75" customHeight="1">
      <c r="B24" s="246"/>
      <c r="C24" s="244"/>
      <c r="G24" s="55"/>
    </row>
    <row r="25" ht="15.75" customHeight="1">
      <c r="E25" s="247">
        <f>SUM(E27:E34)</f>
        <v>3</v>
      </c>
      <c r="G25" s="248"/>
    </row>
    <row r="26" ht="14.25" customHeight="1">
      <c r="B26" s="249" t="s">
        <v>31</v>
      </c>
      <c r="C26" s="249" t="s">
        <v>32</v>
      </c>
      <c r="D26" s="249" t="s">
        <v>33</v>
      </c>
      <c r="E26" s="250" t="s">
        <v>35</v>
      </c>
      <c r="F26" s="250" t="s">
        <v>164</v>
      </c>
      <c r="G26" s="250" t="s">
        <v>165</v>
      </c>
      <c r="H26" s="250" t="s">
        <v>37</v>
      </c>
      <c r="I26" s="146"/>
      <c r="J26" s="146"/>
      <c r="L26" s="67"/>
    </row>
    <row r="27" ht="14.25" customHeight="1">
      <c r="A27" s="251">
        <f>IFERROR(__xludf.DUMMYFUNCTION("COUNTIF(SPLIT(B27,"" ""),""Developer"")"),0.0)</f>
        <v>0</v>
      </c>
      <c r="B27" s="252" t="s">
        <v>64</v>
      </c>
      <c r="C27" s="68">
        <f>IFERROR(VLOOKUP(B27,'Parámetros'!A$1:B113,2, FALSE),"")</f>
        <v>5000000</v>
      </c>
      <c r="D27" s="208" t="s">
        <v>166</v>
      </c>
      <c r="E27" s="253">
        <v>0.5</v>
      </c>
      <c r="F27" s="68">
        <f t="shared" ref="F27:F29" si="1">+IFERROR(IF(D27="Nómina",C27*1.38352,C27),"")*E27</f>
        <v>2500000</v>
      </c>
      <c r="G27" s="68">
        <f t="shared" ref="G27:G36" si="2">F27*C$10</f>
        <v>10000000</v>
      </c>
      <c r="H27" s="254">
        <f>F27/(AVERAGE('Parámetros'!$F$5:$F$6)+$F$37)</f>
        <v>0.007052051771</v>
      </c>
      <c r="I27" s="146"/>
      <c r="J27" s="146"/>
      <c r="L27" s="73"/>
    </row>
    <row r="28" ht="14.25" customHeight="1">
      <c r="A28" s="251">
        <f>IFERROR(__xludf.DUMMYFUNCTION("COUNTIF(SPLIT(B28,"" ""),""Developer"")"),0.0)</f>
        <v>0</v>
      </c>
      <c r="B28" s="255" t="s">
        <v>59</v>
      </c>
      <c r="C28" s="68">
        <f>IFERROR(VLOOKUP(B28,'Parámetros'!A$1:B114,2, FALSE),"")</f>
        <v>7000000</v>
      </c>
      <c r="D28" s="208" t="s">
        <v>166</v>
      </c>
      <c r="E28" s="256">
        <v>1.0</v>
      </c>
      <c r="F28" s="68">
        <f t="shared" si="1"/>
        <v>7000000</v>
      </c>
      <c r="G28" s="68">
        <f t="shared" si="2"/>
        <v>28000000</v>
      </c>
      <c r="H28" s="254">
        <f>G28/(AVERAGE('Parámetros'!$F$5:$F$6)+$F$37)</f>
        <v>0.07898297983</v>
      </c>
      <c r="I28" s="146"/>
      <c r="J28" s="146"/>
      <c r="L28" s="73"/>
      <c r="R28" s="74"/>
    </row>
    <row r="29" ht="14.25" customHeight="1">
      <c r="A29" s="251">
        <f>IFERROR(__xludf.DUMMYFUNCTION("COUNTIF(SPLIT(B29,"" ""),""Developer"")"),0.0)</f>
        <v>0</v>
      </c>
      <c r="B29" s="255" t="s">
        <v>69</v>
      </c>
      <c r="C29" s="68">
        <f>IFERROR(VLOOKUP(B29,'Parámetros'!A$1:B115,2, FALSE),"")</f>
        <v>10000000</v>
      </c>
      <c r="D29" s="208" t="s">
        <v>166</v>
      </c>
      <c r="E29" s="256">
        <v>0.3</v>
      </c>
      <c r="F29" s="68">
        <f t="shared" si="1"/>
        <v>3000000</v>
      </c>
      <c r="G29" s="68">
        <f t="shared" si="2"/>
        <v>12000000</v>
      </c>
      <c r="H29" s="254">
        <f>G29/(AVERAGE('Parámetros'!$F$5:$F$6)+$F$37)</f>
        <v>0.0338498485</v>
      </c>
      <c r="I29" s="146"/>
      <c r="J29" s="146"/>
      <c r="L29" s="73"/>
    </row>
    <row r="30" ht="14.25" customHeight="1">
      <c r="A30" s="251">
        <f>IFERROR(__xludf.DUMMYFUNCTION("COUNTIF(SPLIT(B30,"" ""),""Developer"")"),0.0)</f>
        <v>0</v>
      </c>
      <c r="B30" s="255" t="s">
        <v>55</v>
      </c>
      <c r="C30" s="68">
        <f>IFERROR(VLOOKUP(B30,'Parámetros'!A$1:B116,2, FALSE),"")</f>
        <v>5000000</v>
      </c>
      <c r="D30" s="208" t="s">
        <v>166</v>
      </c>
      <c r="E30" s="257">
        <v>0.2</v>
      </c>
      <c r="F30" s="68">
        <f>+IFERROR(IF(D30="Nómina",C30*1.38352,C30),"")*E30*105%</f>
        <v>1050000</v>
      </c>
      <c r="G30" s="68">
        <f t="shared" si="2"/>
        <v>4200000</v>
      </c>
      <c r="H30" s="254">
        <f>G30/(AVERAGE('Parámetros'!$F$5:$F$6)+$F$37)</f>
        <v>0.01184744698</v>
      </c>
      <c r="I30" s="146"/>
      <c r="J30" s="146"/>
      <c r="L30" s="73"/>
    </row>
    <row r="31" ht="14.25" customHeight="1">
      <c r="A31" s="251">
        <f>IFERROR(__xludf.DUMMYFUNCTION("COUNTIF(SPLIT(B31,"" ""),""Developer"")"),0.0)</f>
        <v>0</v>
      </c>
      <c r="B31" s="255" t="s">
        <v>59</v>
      </c>
      <c r="C31" s="68">
        <f>IFERROR(VLOOKUP(B31,'Parámetros'!A$1:B117,2, FALSE),"")</f>
        <v>7000000</v>
      </c>
      <c r="D31" s="208" t="s">
        <v>166</v>
      </c>
      <c r="E31" s="256">
        <v>1.0</v>
      </c>
      <c r="F31" s="68">
        <f>+IFERROR(IF(D31="Nómina",C31*1.38352,C31),"")*E31</f>
        <v>7000000</v>
      </c>
      <c r="G31" s="68">
        <f t="shared" si="2"/>
        <v>28000000</v>
      </c>
      <c r="H31" s="254">
        <f>G31/(AVERAGE('Parámetros'!$F$5:$F$6)+$F$37)</f>
        <v>0.07898297983</v>
      </c>
      <c r="I31" s="146"/>
      <c r="J31" s="146"/>
      <c r="L31" s="73"/>
    </row>
    <row r="32" ht="14.25" customHeight="1">
      <c r="A32" s="251">
        <f>IFERROR(__xludf.DUMMYFUNCTION("COUNTIF(SPLIT(B32,"" ""),""Developer"")"),0.0)</f>
        <v>0</v>
      </c>
      <c r="B32" s="255"/>
      <c r="C32" s="68"/>
      <c r="D32" s="208"/>
      <c r="E32" s="256"/>
      <c r="F32" s="68">
        <f t="shared" ref="F32:F36" si="3">+IFERROR(IF(D32="Nómina",C32*1.38352,C32),"")*E32*105%</f>
        <v>0</v>
      </c>
      <c r="G32" s="68">
        <f t="shared" si="2"/>
        <v>0</v>
      </c>
      <c r="H32" s="254">
        <f>G32/(AVERAGE('Parámetros'!$F$5:$F$6)+$F$37)</f>
        <v>0</v>
      </c>
      <c r="I32" s="146"/>
      <c r="J32" s="146"/>
      <c r="K32" s="146"/>
    </row>
    <row r="33" ht="14.25" customHeight="1">
      <c r="A33" s="251">
        <f>IFERROR(__xludf.DUMMYFUNCTION("COUNTIF(SPLIT(B33,"" ""),""Developer"")"),0.0)</f>
        <v>0</v>
      </c>
      <c r="B33" s="255"/>
      <c r="C33" s="68"/>
      <c r="D33" s="208"/>
      <c r="E33" s="258"/>
      <c r="F33" s="68">
        <f t="shared" si="3"/>
        <v>0</v>
      </c>
      <c r="G33" s="68">
        <f t="shared" si="2"/>
        <v>0</v>
      </c>
      <c r="H33" s="254">
        <f>G33/(AVERAGE('Parámetros'!$F$5:$F$6)+$F$37)</f>
        <v>0</v>
      </c>
      <c r="I33" s="146"/>
      <c r="J33" s="146"/>
      <c r="K33" s="146"/>
    </row>
    <row r="34" ht="14.25" customHeight="1">
      <c r="A34" s="251">
        <f>IFERROR(__xludf.DUMMYFUNCTION("COUNTIF(SPLIT(B34,"" ""),""Developer"")"),0.0)</f>
        <v>0</v>
      </c>
      <c r="B34" s="255"/>
      <c r="C34" s="68" t="str">
        <f>IFERROR(VLOOKUP(B34,'Parámetros'!A$1:B120,2, FALSE),"")</f>
        <v/>
      </c>
      <c r="D34" s="208"/>
      <c r="E34" s="258"/>
      <c r="F34" s="68">
        <f t="shared" si="3"/>
        <v>0</v>
      </c>
      <c r="G34" s="68">
        <f t="shared" si="2"/>
        <v>0</v>
      </c>
      <c r="H34" s="254">
        <f>G34/(AVERAGE('Parámetros'!$F$5:$F$6)+$F$37)</f>
        <v>0</v>
      </c>
      <c r="I34" s="146"/>
      <c r="J34" s="146"/>
      <c r="K34" s="146"/>
    </row>
    <row r="35" ht="14.25" customHeight="1">
      <c r="A35" s="251"/>
      <c r="B35" s="252"/>
      <c r="C35" s="68" t="str">
        <f>IFERROR(VLOOKUP(B35,'Parámetros'!A$1:B121,2, FALSE),"")</f>
        <v/>
      </c>
      <c r="D35" s="208"/>
      <c r="E35" s="258"/>
      <c r="F35" s="68">
        <f t="shared" si="3"/>
        <v>0</v>
      </c>
      <c r="G35" s="68">
        <f t="shared" si="2"/>
        <v>0</v>
      </c>
      <c r="H35" s="254">
        <f>G35/(AVERAGE('Parámetros'!$F$5:$F$6)+$F$37)</f>
        <v>0</v>
      </c>
      <c r="I35" s="146"/>
      <c r="J35" s="146"/>
      <c r="K35" s="146"/>
    </row>
    <row r="36" ht="14.25" customHeight="1">
      <c r="A36" s="251"/>
      <c r="B36" s="255"/>
      <c r="C36" s="68" t="str">
        <f>IFERROR(VLOOKUP(B36,'Parámetros'!A$1:B122,2, FALSE),"")</f>
        <v/>
      </c>
      <c r="D36" s="208"/>
      <c r="E36" s="258"/>
      <c r="F36" s="68">
        <f t="shared" si="3"/>
        <v>0</v>
      </c>
      <c r="G36" s="68">
        <f t="shared" si="2"/>
        <v>0</v>
      </c>
      <c r="H36" s="254">
        <f>G36/(AVERAGE('Parámetros'!$F$5:$F$6)+$F$37)</f>
        <v>0</v>
      </c>
      <c r="I36" s="146"/>
      <c r="J36" s="146"/>
      <c r="K36" s="146"/>
    </row>
    <row r="37" ht="14.25" customHeight="1">
      <c r="F37" s="259">
        <f t="shared" ref="F37:H37" si="4">SUM(F27:F36)</f>
        <v>20550000</v>
      </c>
      <c r="G37" s="259">
        <f t="shared" si="4"/>
        <v>82200000</v>
      </c>
      <c r="H37" s="260">
        <f t="shared" si="4"/>
        <v>0.2107153069</v>
      </c>
      <c r="M37" s="90"/>
      <c r="N37" s="91"/>
      <c r="O37" s="92"/>
      <c r="P37" s="93"/>
      <c r="Q37" s="94"/>
    </row>
    <row r="38" ht="14.25" customHeight="1">
      <c r="G38" s="55"/>
    </row>
    <row r="39" ht="14.25" customHeight="1">
      <c r="G39" s="55"/>
    </row>
    <row r="40" ht="14.25" customHeight="1">
      <c r="C40" s="261" t="s">
        <v>9</v>
      </c>
      <c r="D40" s="261" t="s">
        <v>45</v>
      </c>
      <c r="G40" s="55"/>
    </row>
    <row r="41" ht="14.25" customHeight="1">
      <c r="F41" s="97"/>
      <c r="G41" s="55"/>
    </row>
    <row r="42" ht="14.25" customHeight="1">
      <c r="B42" s="262" t="s">
        <v>31</v>
      </c>
      <c r="C42" s="261" t="s">
        <v>35</v>
      </c>
      <c r="D42" s="263" t="s">
        <v>48</v>
      </c>
      <c r="E42" s="261" t="s">
        <v>50</v>
      </c>
      <c r="F42" s="261" t="s">
        <v>159</v>
      </c>
      <c r="G42" s="55"/>
    </row>
    <row r="43" ht="14.25" customHeight="1">
      <c r="B43" s="264" t="str">
        <f t="shared" ref="B43:B52" si="5">B27</f>
        <v>Forward Deployed Pruduct experience</v>
      </c>
      <c r="C43" s="265">
        <f t="shared" ref="C43:C52" si="6">E27</f>
        <v>0.5</v>
      </c>
      <c r="D43" s="266">
        <f t="shared" ref="D43:D52" si="7">C43*180</f>
        <v>90</v>
      </c>
      <c r="E43" s="267">
        <f>IFERROR((IF($C$40="Gross Margin",F27/$F$37*$F$12,IF($C$40="Net Margin",F27/$F$37*$F$18,"Error")))/D43,"")/IF($D$40="USD",'Parámetros'!$L$3,1)/$C$10</f>
        <v>12.62052602</v>
      </c>
      <c r="F43" s="267">
        <f t="shared" ref="F43:F52" si="8">E43*D43</f>
        <v>1135.847342</v>
      </c>
      <c r="G43" s="55"/>
    </row>
    <row r="44" ht="14.25" customHeight="1">
      <c r="B44" s="264" t="str">
        <f t="shared" si="5"/>
        <v>Forward Deployed Enginnier</v>
      </c>
      <c r="C44" s="265">
        <f t="shared" si="6"/>
        <v>1</v>
      </c>
      <c r="D44" s="266">
        <f t="shared" si="7"/>
        <v>180</v>
      </c>
      <c r="E44" s="267">
        <f>IFERROR((IF($C$40="Gross Margin",F28/$F$37*$F$12,IF($C$40="Net Margin",F28/$F$37*$F$18,"Error")))/D44,"")/IF($D$40="USD",'Parámetros'!$L$3,1)/$C$10</f>
        <v>17.66873643</v>
      </c>
      <c r="F44" s="267">
        <f t="shared" si="8"/>
        <v>3180.372558</v>
      </c>
      <c r="G44" s="55"/>
    </row>
    <row r="45" ht="14.25" customHeight="1">
      <c r="B45" s="264" t="str">
        <f t="shared" si="5"/>
        <v>Tech Leald Orchestaror</v>
      </c>
      <c r="C45" s="265">
        <f t="shared" si="6"/>
        <v>0.3</v>
      </c>
      <c r="D45" s="266">
        <f t="shared" si="7"/>
        <v>54</v>
      </c>
      <c r="E45" s="267">
        <f>IFERROR((IF($C$40="Gross Margin",F29/$F$37*$F$12,IF($C$40="Net Margin",F29/$F$37*$F$18,"Error")))/D45,"")/IF($D$40="USD",'Parámetros'!$L$3,1)/$C$10</f>
        <v>25.24105205</v>
      </c>
      <c r="F45" s="267">
        <f t="shared" si="8"/>
        <v>1363.016811</v>
      </c>
      <c r="G45" s="23"/>
    </row>
    <row r="46" ht="14.25" customHeight="1">
      <c r="B46" s="264" t="str">
        <f t="shared" si="5"/>
        <v>Forward Deployed Product manager</v>
      </c>
      <c r="C46" s="265">
        <f t="shared" si="6"/>
        <v>0.2</v>
      </c>
      <c r="D46" s="266">
        <f t="shared" si="7"/>
        <v>36</v>
      </c>
      <c r="E46" s="267">
        <f>IFERROR((IF($C$40="Gross Margin",F30/$F$37*$F$12,IF($C$40="Net Margin",F30/$F$37*$F$18,"Error")))/D46,"")/IF($D$40="USD",'Parámetros'!$L$3,1)/$C$10</f>
        <v>13.25155232</v>
      </c>
      <c r="F46" s="267">
        <f t="shared" si="8"/>
        <v>477.0558837</v>
      </c>
      <c r="G46" s="23"/>
    </row>
    <row r="47" ht="14.25" customHeight="1">
      <c r="B47" s="264" t="str">
        <f t="shared" si="5"/>
        <v>Forward Deployed Enginnier</v>
      </c>
      <c r="C47" s="265">
        <f t="shared" si="6"/>
        <v>1</v>
      </c>
      <c r="D47" s="266">
        <f t="shared" si="7"/>
        <v>180</v>
      </c>
      <c r="E47" s="267">
        <f>IFERROR((IF($C$40="Gross Margin",F31/$F$37*$F$12,IF($C$40="Net Margin",F31/$F$37*$F$18,"Error")))/D47,"")/IF($D$40="USD",'Parámetros'!$L$3,1)/$C$10</f>
        <v>17.66873643</v>
      </c>
      <c r="F47" s="267">
        <f t="shared" si="8"/>
        <v>3180.372558</v>
      </c>
      <c r="G47" s="55"/>
    </row>
    <row r="48" ht="14.25" customHeight="1">
      <c r="B48" s="264" t="str">
        <f t="shared" si="5"/>
        <v/>
      </c>
      <c r="C48" s="265" t="str">
        <f t="shared" si="6"/>
        <v/>
      </c>
      <c r="D48" s="266">
        <f t="shared" si="7"/>
        <v>0</v>
      </c>
      <c r="E48" s="267">
        <f>IFERROR((IF($C$40="Gross Margin",F32/$F$37*$F$12,IF($C$40="Net Margin",F32/$F$37*$F$18,"Error")))/D48,"")/IF($D$40="USD",'Parámetros'!$L$3,1)</f>
        <v>0</v>
      </c>
      <c r="F48" s="267">
        <f t="shared" si="8"/>
        <v>0</v>
      </c>
      <c r="G48" s="55"/>
    </row>
    <row r="49" ht="14.25" customHeight="1">
      <c r="B49" s="264" t="str">
        <f t="shared" si="5"/>
        <v/>
      </c>
      <c r="C49" s="265" t="str">
        <f t="shared" si="6"/>
        <v/>
      </c>
      <c r="D49" s="266">
        <f t="shared" si="7"/>
        <v>0</v>
      </c>
      <c r="E49" s="267">
        <f>IFERROR((IF($C$40="Gross Margin",F33/$F$37*$F$12,IF($C$40="Net Margin",F33/$F$37*$F$18,"Error")))/D49,"")/IF($D$40="USD",'Parámetros'!$L$3,1)</f>
        <v>0</v>
      </c>
      <c r="F49" s="267">
        <f t="shared" si="8"/>
        <v>0</v>
      </c>
      <c r="G49" s="55"/>
    </row>
    <row r="50" ht="14.25" customHeight="1">
      <c r="B50" s="264" t="str">
        <f t="shared" si="5"/>
        <v/>
      </c>
      <c r="C50" s="265" t="str">
        <f t="shared" si="6"/>
        <v/>
      </c>
      <c r="D50" s="266">
        <f t="shared" si="7"/>
        <v>0</v>
      </c>
      <c r="E50" s="267">
        <f>IFERROR((IF($C$40="Gross Margin",F34/$F$37*$F$12,IF($C$40="Net Margin",F34/$F$37*$F$18,"Error")))/D50,"")/IF($D$40="USD",'Parámetros'!$L$3,1)</f>
        <v>0</v>
      </c>
      <c r="F50" s="267">
        <f t="shared" si="8"/>
        <v>0</v>
      </c>
      <c r="G50" s="55"/>
    </row>
    <row r="51" ht="14.25" customHeight="1">
      <c r="B51" s="264" t="str">
        <f t="shared" si="5"/>
        <v/>
      </c>
      <c r="C51" s="265" t="str">
        <f t="shared" si="6"/>
        <v/>
      </c>
      <c r="D51" s="266">
        <f t="shared" si="7"/>
        <v>0</v>
      </c>
      <c r="E51" s="267">
        <f>IFERROR((IF($C$40="Gross Margin",F35/$F$37*$F$12,IF($C$40="Net Margin",F35/$F$37*$F$18,"Error")))/D51,"")/IF($D$40="USD",'Parámetros'!$L$3,1)</f>
        <v>0</v>
      </c>
      <c r="F51" s="267">
        <f t="shared" si="8"/>
        <v>0</v>
      </c>
      <c r="G51" s="55"/>
    </row>
    <row r="52" ht="14.25" customHeight="1">
      <c r="B52" s="264" t="str">
        <f t="shared" si="5"/>
        <v/>
      </c>
      <c r="C52" s="265" t="str">
        <f t="shared" si="6"/>
        <v/>
      </c>
      <c r="D52" s="268">
        <f t="shared" si="7"/>
        <v>0</v>
      </c>
      <c r="E52" s="267">
        <f>IFERROR((IF($C$40="Gross Margin",F36/$F$37*$F$12,IF($C$40="Net Margin",F36/$F$37*$F$18,"Error")))/D52,"")/IF($D$40="USD",'Parámetros'!$L$3,1)</f>
        <v>0</v>
      </c>
      <c r="F52" s="267">
        <f t="shared" si="8"/>
        <v>0</v>
      </c>
      <c r="G52" s="55"/>
    </row>
    <row r="53" ht="14.25" customHeight="1">
      <c r="E53" s="269" t="s">
        <v>52</v>
      </c>
      <c r="F53" s="270">
        <f>SUM(F43:F52)</f>
        <v>9336.665152</v>
      </c>
      <c r="G53" s="55"/>
    </row>
    <row r="54" ht="14.25" customHeight="1">
      <c r="E54" s="269" t="s">
        <v>167</v>
      </c>
      <c r="F54" s="270">
        <f>F53-G13</f>
        <v>0</v>
      </c>
      <c r="G54" s="55"/>
    </row>
    <row r="55" ht="14.25" customHeight="1">
      <c r="D55" s="271"/>
      <c r="E55" s="271"/>
      <c r="G55" s="55"/>
    </row>
    <row r="56" ht="14.25" customHeight="1">
      <c r="B56" s="272" t="s">
        <v>11</v>
      </c>
      <c r="C56" s="272" t="s">
        <v>52</v>
      </c>
      <c r="D56" s="273" t="s">
        <v>116</v>
      </c>
      <c r="E56" s="274"/>
      <c r="G56" s="55"/>
    </row>
    <row r="57" ht="14.25" customHeight="1" outlineLevel="1">
      <c r="A57" s="33"/>
      <c r="B57" s="275" t="s">
        <v>14</v>
      </c>
      <c r="C57" s="276">
        <f>G37</f>
        <v>82200000</v>
      </c>
      <c r="D57" s="276">
        <f t="shared" ref="D57:D62" si="9">C57/C$10</f>
        <v>20550000</v>
      </c>
      <c r="E57" s="277"/>
      <c r="F57" s="33"/>
      <c r="G57" s="37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</row>
    <row r="58" ht="14.25" customHeight="1" outlineLevel="1">
      <c r="A58" s="33"/>
      <c r="B58" s="278" t="s">
        <v>17</v>
      </c>
      <c r="C58" s="279">
        <f>C60+C61+C59</f>
        <v>29687871.87</v>
      </c>
      <c r="D58" s="279">
        <f t="shared" si="9"/>
        <v>7421967.967</v>
      </c>
      <c r="E58" s="277"/>
      <c r="F58" s="33"/>
      <c r="G58" s="37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</row>
    <row r="59" ht="14.25" customHeight="1" outlineLevel="1">
      <c r="B59" s="280" t="s">
        <v>19</v>
      </c>
      <c r="C59" s="70"/>
      <c r="D59" s="70">
        <f t="shared" si="9"/>
        <v>0</v>
      </c>
      <c r="E59" s="271"/>
      <c r="G59" s="55"/>
    </row>
    <row r="60" ht="14.25" customHeight="1" outlineLevel="1">
      <c r="B60" s="280" t="s">
        <v>20</v>
      </c>
      <c r="C60" s="281">
        <f>H37*AVERAGE('Parámetros'!G8:G9)*IF(C2="Network",15%,100%)*IF(C2="Enterprise",40%,100%)</f>
        <v>29687871.87</v>
      </c>
      <c r="D60" s="281">
        <f t="shared" si="9"/>
        <v>7421967.967</v>
      </c>
      <c r="E60" s="282"/>
      <c r="G60" s="55"/>
    </row>
    <row r="61" ht="14.25" customHeight="1" outlineLevel="1">
      <c r="B61" s="280" t="s">
        <v>21</v>
      </c>
      <c r="C61" s="70"/>
      <c r="D61" s="70">
        <f t="shared" si="9"/>
        <v>0</v>
      </c>
      <c r="E61" s="282"/>
      <c r="G61" s="55"/>
    </row>
    <row r="62" ht="14.25" customHeight="1">
      <c r="B62" s="283" t="s">
        <v>23</v>
      </c>
      <c r="C62" s="284">
        <f>C57+C58</f>
        <v>111887871.9</v>
      </c>
      <c r="D62" s="284">
        <f t="shared" si="9"/>
        <v>27971967.97</v>
      </c>
      <c r="E62" s="277"/>
      <c r="G62" s="55"/>
    </row>
    <row r="63" ht="14.25" customHeight="1">
      <c r="B63" s="285" t="s">
        <v>168</v>
      </c>
      <c r="C63" s="286">
        <f t="shared" ref="C63:D63" si="10">C57+C59+C61</f>
        <v>82200000</v>
      </c>
      <c r="D63" s="286">
        <f t="shared" si="10"/>
        <v>20550000</v>
      </c>
      <c r="E63" s="287"/>
      <c r="G63" s="55"/>
    </row>
    <row r="64">
      <c r="D64" s="271"/>
      <c r="E64" s="271"/>
      <c r="G64" s="55"/>
    </row>
    <row r="65" ht="14.25" customHeight="1">
      <c r="G65" s="55"/>
    </row>
    <row r="66" ht="14.25" customHeight="1">
      <c r="G66" s="55"/>
    </row>
    <row r="67" ht="14.25" customHeight="1">
      <c r="G67" s="55"/>
    </row>
    <row r="68" ht="14.25" customHeight="1">
      <c r="G68" s="55"/>
    </row>
    <row r="69" ht="14.25" customHeight="1">
      <c r="G69" s="55"/>
    </row>
    <row r="70" ht="14.25" customHeight="1">
      <c r="G70" s="55"/>
    </row>
    <row r="71" ht="14.25" customHeight="1">
      <c r="G71" s="55"/>
    </row>
    <row r="72" ht="14.25" customHeight="1">
      <c r="G72" s="55"/>
    </row>
    <row r="73" ht="14.25" customHeight="1">
      <c r="G73" s="55"/>
    </row>
    <row r="74" ht="14.25" customHeight="1">
      <c r="G74" s="55"/>
    </row>
    <row r="75" ht="14.25" customHeight="1">
      <c r="G75" s="55"/>
    </row>
    <row r="76" ht="14.25" customHeight="1">
      <c r="G76" s="55"/>
    </row>
    <row r="77" ht="14.25" customHeight="1">
      <c r="G77" s="55"/>
    </row>
    <row r="78" ht="14.25" customHeight="1">
      <c r="G78" s="55"/>
    </row>
    <row r="79" ht="14.25" customHeight="1">
      <c r="G79" s="55"/>
    </row>
    <row r="80" ht="14.25" customHeight="1">
      <c r="G80" s="55"/>
    </row>
    <row r="81" ht="14.25" customHeight="1">
      <c r="G81" s="55"/>
    </row>
    <row r="82" ht="14.25" customHeight="1">
      <c r="G82" s="55"/>
    </row>
    <row r="83" ht="14.25" customHeight="1">
      <c r="G83" s="55"/>
    </row>
    <row r="84" ht="14.25" customHeight="1">
      <c r="G84" s="55"/>
    </row>
    <row r="85" ht="14.25" customHeight="1">
      <c r="G85" s="55"/>
    </row>
    <row r="86" ht="14.25" customHeight="1">
      <c r="G86" s="55"/>
    </row>
    <row r="87" ht="14.25" customHeight="1">
      <c r="G87" s="55"/>
    </row>
    <row r="88" ht="14.25" customHeight="1">
      <c r="G88" s="55"/>
    </row>
    <row r="89" ht="14.25" customHeight="1">
      <c r="G89" s="55"/>
    </row>
    <row r="90" ht="14.25" customHeight="1">
      <c r="G90" s="55"/>
    </row>
    <row r="91" ht="14.25" customHeight="1">
      <c r="G91" s="55"/>
    </row>
    <row r="92" ht="14.25" customHeight="1">
      <c r="G92" s="55"/>
    </row>
    <row r="93" ht="14.25" customHeight="1">
      <c r="G93" s="55"/>
    </row>
    <row r="94" ht="14.25" customHeight="1">
      <c r="G94" s="55"/>
    </row>
    <row r="95" ht="14.25" customHeight="1">
      <c r="G95" s="55"/>
    </row>
    <row r="96" ht="14.25" customHeight="1">
      <c r="G96" s="55"/>
    </row>
    <row r="97" ht="14.25" customHeight="1">
      <c r="G97" s="55"/>
    </row>
    <row r="98" ht="14.25" customHeight="1">
      <c r="G98" s="55"/>
    </row>
    <row r="99" ht="14.25" customHeight="1">
      <c r="G99" s="55"/>
    </row>
    <row r="100" ht="14.25" customHeight="1">
      <c r="G100" s="55"/>
    </row>
    <row r="101" ht="14.25" customHeight="1">
      <c r="G101" s="55"/>
    </row>
    <row r="102" ht="14.25" customHeight="1">
      <c r="G102" s="55"/>
    </row>
    <row r="103" ht="14.25" customHeight="1">
      <c r="G103" s="55"/>
    </row>
    <row r="104" ht="14.25" customHeight="1">
      <c r="G104" s="55"/>
    </row>
    <row r="105" ht="14.25" customHeight="1">
      <c r="G105" s="55"/>
    </row>
    <row r="106" ht="14.25" customHeight="1">
      <c r="G106" s="55"/>
    </row>
    <row r="107" ht="14.25" customHeight="1">
      <c r="G107" s="55"/>
    </row>
    <row r="108" ht="14.25" customHeight="1">
      <c r="G108" s="55"/>
    </row>
    <row r="109" ht="14.25" customHeight="1">
      <c r="G109" s="55"/>
    </row>
    <row r="110" ht="14.25" customHeight="1">
      <c r="G110" s="55"/>
    </row>
    <row r="111" ht="14.25" customHeight="1">
      <c r="G111" s="55"/>
    </row>
    <row r="112" ht="14.25" customHeight="1">
      <c r="G112" s="55"/>
    </row>
    <row r="113" ht="14.25" customHeight="1">
      <c r="G113" s="55"/>
    </row>
    <row r="114" ht="14.25" customHeight="1">
      <c r="G114" s="55"/>
    </row>
    <row r="115" ht="14.25" customHeight="1">
      <c r="G115" s="55"/>
    </row>
    <row r="116" ht="14.25" customHeight="1">
      <c r="G116" s="55"/>
    </row>
    <row r="117" ht="14.25" customHeight="1">
      <c r="G117" s="55"/>
    </row>
    <row r="118" ht="14.25" customHeight="1">
      <c r="G118" s="55"/>
    </row>
    <row r="119" ht="14.25" customHeight="1">
      <c r="G119" s="55"/>
    </row>
    <row r="120" ht="14.25" customHeight="1">
      <c r="G120" s="55"/>
    </row>
    <row r="121" ht="14.25" customHeight="1">
      <c r="G121" s="55"/>
    </row>
    <row r="122" ht="14.25" customHeight="1">
      <c r="G122" s="55"/>
    </row>
    <row r="123" ht="14.25" customHeight="1">
      <c r="G123" s="55"/>
    </row>
    <row r="124" ht="14.25" customHeight="1">
      <c r="G124" s="55"/>
    </row>
    <row r="125" ht="14.25" customHeight="1">
      <c r="G125" s="55"/>
    </row>
    <row r="126" ht="14.25" customHeight="1">
      <c r="G126" s="55"/>
    </row>
    <row r="127" ht="14.25" customHeight="1">
      <c r="G127" s="55"/>
    </row>
    <row r="128" ht="14.25" customHeight="1">
      <c r="G128" s="55"/>
    </row>
    <row r="129" ht="14.25" customHeight="1">
      <c r="G129" s="55"/>
    </row>
    <row r="130" ht="14.25" customHeight="1">
      <c r="G130" s="55"/>
    </row>
    <row r="131" ht="14.25" customHeight="1">
      <c r="G131" s="55"/>
    </row>
    <row r="132" ht="14.25" customHeight="1">
      <c r="G132" s="55"/>
    </row>
    <row r="133" ht="14.25" customHeight="1">
      <c r="G133" s="55"/>
    </row>
    <row r="134" ht="14.25" customHeight="1">
      <c r="G134" s="55"/>
    </row>
    <row r="135" ht="14.25" customHeight="1">
      <c r="G135" s="55"/>
    </row>
    <row r="136" ht="14.25" customHeight="1">
      <c r="G136" s="55"/>
    </row>
    <row r="137" ht="14.25" customHeight="1">
      <c r="G137" s="55"/>
    </row>
    <row r="138" ht="14.25" customHeight="1">
      <c r="G138" s="55"/>
    </row>
    <row r="139" ht="14.25" customHeight="1">
      <c r="G139" s="55"/>
    </row>
    <row r="140" ht="14.25" customHeight="1">
      <c r="G140" s="55"/>
    </row>
    <row r="141" ht="14.25" customHeight="1">
      <c r="G141" s="55"/>
    </row>
    <row r="142" ht="14.25" customHeight="1">
      <c r="G142" s="55"/>
    </row>
    <row r="143" ht="14.25" customHeight="1">
      <c r="G143" s="55"/>
    </row>
    <row r="144" ht="14.25" customHeight="1">
      <c r="G144" s="55"/>
    </row>
    <row r="145" ht="14.25" customHeight="1">
      <c r="G145" s="55"/>
    </row>
    <row r="146" ht="14.25" customHeight="1">
      <c r="G146" s="55"/>
    </row>
    <row r="147" ht="14.25" customHeight="1">
      <c r="G147" s="55"/>
    </row>
    <row r="148" ht="14.25" customHeight="1">
      <c r="G148" s="55"/>
    </row>
    <row r="149" ht="14.25" customHeight="1">
      <c r="G149" s="55"/>
    </row>
    <row r="150" ht="14.25" customHeight="1">
      <c r="G150" s="55"/>
    </row>
    <row r="151" ht="14.25" customHeight="1">
      <c r="G151" s="55"/>
    </row>
    <row r="152" ht="14.25" customHeight="1">
      <c r="G152" s="55"/>
    </row>
    <row r="153" ht="14.25" customHeight="1">
      <c r="G153" s="55"/>
    </row>
    <row r="154" ht="14.25" customHeight="1">
      <c r="G154" s="55"/>
    </row>
    <row r="155" ht="14.25" customHeight="1">
      <c r="G155" s="55"/>
    </row>
    <row r="156" ht="14.25" customHeight="1">
      <c r="G156" s="55"/>
    </row>
    <row r="157" ht="14.25" customHeight="1">
      <c r="G157" s="55"/>
    </row>
    <row r="158" ht="14.25" customHeight="1">
      <c r="G158" s="55"/>
    </row>
    <row r="159" ht="14.25" customHeight="1">
      <c r="G159" s="55"/>
    </row>
    <row r="160" ht="14.25" customHeight="1">
      <c r="G160" s="55"/>
    </row>
    <row r="161" ht="14.25" customHeight="1">
      <c r="G161" s="55"/>
    </row>
    <row r="162" ht="14.25" customHeight="1">
      <c r="G162" s="55"/>
    </row>
    <row r="163" ht="14.25" customHeight="1">
      <c r="G163" s="55"/>
    </row>
    <row r="164" ht="14.25" customHeight="1">
      <c r="G164" s="55"/>
    </row>
    <row r="165" ht="14.25" customHeight="1">
      <c r="G165" s="55"/>
    </row>
    <row r="166" ht="14.25" customHeight="1">
      <c r="G166" s="55"/>
    </row>
    <row r="167" ht="14.25" customHeight="1">
      <c r="G167" s="55"/>
    </row>
    <row r="168" ht="14.25" customHeight="1">
      <c r="G168" s="55"/>
    </row>
    <row r="169" ht="14.25" customHeight="1">
      <c r="G169" s="55"/>
    </row>
    <row r="170" ht="14.25" customHeight="1">
      <c r="G170" s="55"/>
    </row>
    <row r="171" ht="14.25" customHeight="1">
      <c r="G171" s="55"/>
    </row>
    <row r="172" ht="14.25" customHeight="1">
      <c r="G172" s="55"/>
    </row>
    <row r="173" ht="14.25" customHeight="1">
      <c r="G173" s="55"/>
    </row>
    <row r="174" ht="14.25" customHeight="1">
      <c r="G174" s="55"/>
    </row>
    <row r="175" ht="14.25" customHeight="1">
      <c r="G175" s="55"/>
    </row>
    <row r="176" ht="14.25" customHeight="1">
      <c r="G176" s="55"/>
    </row>
    <row r="177" ht="14.25" customHeight="1">
      <c r="G177" s="55"/>
    </row>
    <row r="178" ht="14.25" customHeight="1">
      <c r="G178" s="55"/>
    </row>
    <row r="179" ht="14.25" customHeight="1">
      <c r="G179" s="55"/>
    </row>
    <row r="180" ht="14.25" customHeight="1">
      <c r="G180" s="55"/>
    </row>
    <row r="181" ht="14.25" customHeight="1">
      <c r="G181" s="55"/>
    </row>
    <row r="182" ht="14.25" customHeight="1">
      <c r="G182" s="55"/>
    </row>
    <row r="183" ht="14.25" customHeight="1">
      <c r="G183" s="55"/>
    </row>
    <row r="184" ht="14.25" customHeight="1">
      <c r="G184" s="55"/>
    </row>
    <row r="185" ht="14.25" customHeight="1">
      <c r="G185" s="55"/>
    </row>
    <row r="186" ht="14.25" customHeight="1">
      <c r="G186" s="55"/>
    </row>
    <row r="187" ht="14.25" customHeight="1">
      <c r="G187" s="55"/>
    </row>
    <row r="188" ht="14.25" customHeight="1">
      <c r="G188" s="55"/>
    </row>
    <row r="189" ht="14.25" customHeight="1">
      <c r="G189" s="55"/>
    </row>
    <row r="190" ht="14.25" customHeight="1">
      <c r="G190" s="55"/>
    </row>
    <row r="191" ht="14.25" customHeight="1">
      <c r="G191" s="55"/>
    </row>
    <row r="192" ht="14.25" customHeight="1">
      <c r="G192" s="55"/>
    </row>
    <row r="193" ht="14.25" customHeight="1">
      <c r="G193" s="55"/>
    </row>
    <row r="194" ht="14.25" customHeight="1">
      <c r="G194" s="55"/>
    </row>
    <row r="195" ht="14.25" customHeight="1">
      <c r="G195" s="55"/>
    </row>
    <row r="196" ht="14.25" customHeight="1">
      <c r="G196" s="55"/>
    </row>
    <row r="197" ht="14.25" customHeight="1">
      <c r="G197" s="55"/>
    </row>
    <row r="198" ht="14.25" customHeight="1">
      <c r="G198" s="55"/>
    </row>
    <row r="199" ht="14.25" customHeight="1">
      <c r="G199" s="55"/>
    </row>
    <row r="200" ht="14.25" customHeight="1">
      <c r="G200" s="55"/>
    </row>
    <row r="201" ht="14.25" customHeight="1">
      <c r="G201" s="55"/>
    </row>
    <row r="202" ht="14.25" customHeight="1">
      <c r="G202" s="55"/>
    </row>
    <row r="203" ht="14.25" customHeight="1">
      <c r="G203" s="55"/>
    </row>
    <row r="204" ht="14.25" customHeight="1">
      <c r="G204" s="55"/>
    </row>
    <row r="205" ht="14.25" customHeight="1">
      <c r="G205" s="55"/>
    </row>
    <row r="206" ht="14.25" customHeight="1">
      <c r="G206" s="55"/>
    </row>
    <row r="207" ht="14.25" customHeight="1">
      <c r="G207" s="55"/>
    </row>
    <row r="208" ht="14.25" customHeight="1">
      <c r="G208" s="55"/>
    </row>
    <row r="209" ht="14.25" customHeight="1">
      <c r="G209" s="55"/>
    </row>
    <row r="210" ht="14.25" customHeight="1">
      <c r="G210" s="55"/>
    </row>
    <row r="211" ht="14.25" customHeight="1">
      <c r="G211" s="55"/>
    </row>
    <row r="212" ht="14.25" customHeight="1">
      <c r="G212" s="55"/>
    </row>
    <row r="213" ht="14.25" customHeight="1">
      <c r="G213" s="55"/>
    </row>
    <row r="214" ht="14.25" customHeight="1">
      <c r="G214" s="55"/>
    </row>
    <row r="215" ht="14.25" customHeight="1">
      <c r="G215" s="55"/>
    </row>
    <row r="216" ht="14.25" customHeight="1">
      <c r="G216" s="55"/>
    </row>
    <row r="217" ht="14.25" customHeight="1">
      <c r="G217" s="55"/>
    </row>
    <row r="218" ht="14.25" customHeight="1">
      <c r="G218" s="55"/>
    </row>
    <row r="219" ht="14.25" customHeight="1">
      <c r="G219" s="55"/>
    </row>
    <row r="220" ht="14.25" customHeight="1">
      <c r="G220" s="55"/>
    </row>
    <row r="221" ht="14.25" customHeight="1">
      <c r="G221" s="55"/>
    </row>
    <row r="222" ht="14.25" customHeight="1">
      <c r="G222" s="55"/>
    </row>
    <row r="223" ht="14.25" customHeight="1">
      <c r="G223" s="55"/>
    </row>
    <row r="224" ht="14.25" customHeight="1">
      <c r="G224" s="55"/>
    </row>
    <row r="225" ht="14.25" customHeight="1">
      <c r="G225" s="55"/>
    </row>
    <row r="226" ht="14.25" customHeight="1">
      <c r="G226" s="55"/>
    </row>
    <row r="227" ht="14.25" customHeight="1">
      <c r="G227" s="55"/>
    </row>
    <row r="228" ht="14.25" customHeight="1">
      <c r="G228" s="55"/>
    </row>
    <row r="229" ht="14.25" customHeight="1">
      <c r="G229" s="55"/>
    </row>
    <row r="230" ht="14.25" customHeight="1">
      <c r="G230" s="55"/>
    </row>
    <row r="231" ht="14.25" customHeight="1">
      <c r="G231" s="55"/>
    </row>
    <row r="232" ht="14.25" customHeight="1">
      <c r="G232" s="55"/>
    </row>
    <row r="233" ht="14.25" customHeight="1">
      <c r="G233" s="55"/>
    </row>
    <row r="234" ht="14.25" customHeight="1">
      <c r="G234" s="55"/>
    </row>
    <row r="235" ht="14.25" customHeight="1">
      <c r="G235" s="55"/>
    </row>
    <row r="236" ht="14.25" customHeight="1">
      <c r="G236" s="55"/>
    </row>
    <row r="237" ht="14.25" customHeight="1">
      <c r="G237" s="55"/>
    </row>
    <row r="238" ht="14.25" customHeight="1">
      <c r="G238" s="55"/>
    </row>
    <row r="239" ht="14.25" customHeight="1">
      <c r="G239" s="55"/>
    </row>
    <row r="240" ht="14.25" customHeight="1">
      <c r="G240" s="55"/>
    </row>
    <row r="241" ht="14.25" customHeight="1">
      <c r="G241" s="55"/>
    </row>
    <row r="242" ht="14.25" customHeight="1">
      <c r="G242" s="55"/>
    </row>
    <row r="243" ht="14.25" customHeight="1">
      <c r="G243" s="55"/>
    </row>
    <row r="244" ht="14.25" customHeight="1">
      <c r="G244" s="55"/>
    </row>
    <row r="245" ht="14.25" customHeight="1">
      <c r="G245" s="55"/>
    </row>
    <row r="246" ht="14.25" customHeight="1">
      <c r="G246" s="55"/>
    </row>
    <row r="247" ht="14.25" customHeight="1">
      <c r="G247" s="55"/>
    </row>
    <row r="248" ht="14.25" customHeight="1">
      <c r="G248" s="55"/>
    </row>
    <row r="249" ht="14.25" customHeight="1">
      <c r="G249" s="55"/>
    </row>
    <row r="250" ht="14.25" customHeight="1">
      <c r="G250" s="55"/>
    </row>
    <row r="251" ht="14.25" customHeight="1">
      <c r="G251" s="55"/>
    </row>
    <row r="252" ht="14.25" customHeight="1">
      <c r="G252" s="55"/>
    </row>
    <row r="253" ht="14.25" customHeight="1">
      <c r="G253" s="55"/>
    </row>
    <row r="254" ht="14.25" customHeight="1">
      <c r="G254" s="55"/>
    </row>
    <row r="255" ht="14.25" customHeight="1">
      <c r="G255" s="55"/>
    </row>
    <row r="256" ht="14.25" customHeight="1">
      <c r="G256" s="55"/>
    </row>
    <row r="257" ht="14.25" customHeight="1">
      <c r="G257" s="55"/>
    </row>
    <row r="258" ht="14.25" customHeight="1">
      <c r="G258" s="55"/>
    </row>
    <row r="259" ht="14.25" customHeight="1">
      <c r="G259" s="55"/>
    </row>
    <row r="260" ht="14.25" customHeight="1">
      <c r="G260" s="55"/>
    </row>
    <row r="261" ht="14.25" customHeight="1">
      <c r="G261" s="55"/>
    </row>
    <row r="262" ht="14.25" customHeight="1">
      <c r="G262" s="55"/>
    </row>
    <row r="263" ht="14.25" customHeight="1">
      <c r="G263" s="55"/>
    </row>
    <row r="264" ht="14.25" customHeight="1">
      <c r="G264" s="55"/>
    </row>
    <row r="265" ht="14.25" customHeight="1">
      <c r="G265" s="55"/>
    </row>
    <row r="266" ht="14.25" customHeight="1">
      <c r="G266" s="55"/>
    </row>
    <row r="267" ht="14.25" customHeight="1">
      <c r="G267" s="55"/>
    </row>
    <row r="268" ht="14.25" customHeight="1">
      <c r="G268" s="55"/>
    </row>
    <row r="269" ht="14.25" customHeight="1">
      <c r="G269" s="55"/>
    </row>
    <row r="270" ht="14.25" customHeight="1">
      <c r="G270" s="55"/>
    </row>
    <row r="271" ht="14.25" customHeight="1">
      <c r="G271" s="55"/>
    </row>
    <row r="272" ht="14.25" customHeight="1">
      <c r="G272" s="55"/>
    </row>
    <row r="273" ht="14.25" customHeight="1">
      <c r="G273" s="55"/>
    </row>
    <row r="274" ht="14.25" customHeight="1">
      <c r="G274" s="55"/>
    </row>
    <row r="275" ht="14.25" customHeight="1">
      <c r="G275" s="55"/>
    </row>
    <row r="276" ht="14.25" customHeight="1">
      <c r="G276" s="55"/>
    </row>
    <row r="277" ht="14.25" customHeight="1">
      <c r="G277" s="55"/>
    </row>
    <row r="278" ht="14.25" customHeight="1">
      <c r="G278" s="55"/>
    </row>
    <row r="279" ht="14.25" customHeight="1">
      <c r="G279" s="55"/>
    </row>
    <row r="280" ht="14.25" customHeight="1">
      <c r="G280" s="55"/>
    </row>
    <row r="281" ht="14.25" customHeight="1">
      <c r="G281" s="55"/>
    </row>
    <row r="282" ht="14.25" customHeight="1">
      <c r="G282" s="55"/>
    </row>
    <row r="283" ht="14.25" customHeight="1">
      <c r="G283" s="55"/>
    </row>
    <row r="284" ht="14.25" customHeight="1">
      <c r="G284" s="55"/>
    </row>
    <row r="285" ht="14.25" customHeight="1">
      <c r="G285" s="55"/>
    </row>
    <row r="286" ht="14.25" customHeight="1">
      <c r="G286" s="55"/>
    </row>
    <row r="287" ht="14.25" customHeight="1">
      <c r="G287" s="55"/>
    </row>
    <row r="288" ht="14.25" customHeight="1">
      <c r="G288" s="55"/>
    </row>
    <row r="289" ht="14.25" customHeight="1">
      <c r="G289" s="55"/>
    </row>
    <row r="290" ht="14.25" customHeight="1">
      <c r="G290" s="55"/>
    </row>
    <row r="291" ht="14.25" customHeight="1">
      <c r="G291" s="55"/>
    </row>
    <row r="292" ht="14.25" customHeight="1">
      <c r="G292" s="55"/>
    </row>
    <row r="293" ht="14.25" customHeight="1">
      <c r="G293" s="55"/>
    </row>
    <row r="294" ht="14.25" customHeight="1">
      <c r="G294" s="55"/>
    </row>
    <row r="295" ht="14.25" customHeight="1">
      <c r="G295" s="55"/>
    </row>
    <row r="296" ht="14.25" customHeight="1">
      <c r="G296" s="55"/>
    </row>
    <row r="297" ht="14.25" customHeight="1">
      <c r="G297" s="55"/>
    </row>
    <row r="298" ht="14.25" customHeight="1">
      <c r="G298" s="55"/>
    </row>
    <row r="299" ht="14.25" customHeight="1">
      <c r="G299" s="55"/>
    </row>
    <row r="300" ht="14.25" customHeight="1">
      <c r="G300" s="55"/>
    </row>
    <row r="301" ht="14.25" customHeight="1">
      <c r="G301" s="55"/>
    </row>
    <row r="302" ht="14.25" customHeight="1">
      <c r="G302" s="55"/>
    </row>
    <row r="303" ht="14.25" customHeight="1">
      <c r="G303" s="55"/>
    </row>
    <row r="304" ht="14.25" customHeight="1">
      <c r="G304" s="55"/>
    </row>
    <row r="305" ht="14.25" customHeight="1">
      <c r="G305" s="55"/>
    </row>
    <row r="306" ht="14.25" customHeight="1">
      <c r="G306" s="55"/>
    </row>
    <row r="307" ht="14.25" customHeight="1">
      <c r="G307" s="55"/>
    </row>
    <row r="308" ht="14.25" customHeight="1">
      <c r="G308" s="55"/>
    </row>
    <row r="309" ht="14.25" customHeight="1">
      <c r="G309" s="55"/>
    </row>
    <row r="310" ht="14.25" customHeight="1">
      <c r="G310" s="55"/>
    </row>
    <row r="311" ht="14.25" customHeight="1">
      <c r="G311" s="55"/>
    </row>
    <row r="312" ht="14.25" customHeight="1">
      <c r="G312" s="55"/>
    </row>
    <row r="313" ht="14.25" customHeight="1">
      <c r="G313" s="55"/>
    </row>
    <row r="314" ht="14.25" customHeight="1">
      <c r="G314" s="55"/>
    </row>
    <row r="315" ht="14.25" customHeight="1">
      <c r="G315" s="55"/>
    </row>
    <row r="316" ht="14.25" customHeight="1">
      <c r="G316" s="55"/>
    </row>
    <row r="317" ht="14.25" customHeight="1">
      <c r="G317" s="55"/>
    </row>
    <row r="318" ht="14.25" customHeight="1">
      <c r="G318" s="55"/>
    </row>
    <row r="319" ht="14.25" customHeight="1">
      <c r="G319" s="55"/>
    </row>
    <row r="320" ht="14.25" customHeight="1">
      <c r="G320" s="55"/>
    </row>
    <row r="321" ht="14.25" customHeight="1">
      <c r="G321" s="55"/>
    </row>
    <row r="322" ht="14.25" customHeight="1">
      <c r="G322" s="55"/>
    </row>
    <row r="323" ht="14.25" customHeight="1">
      <c r="G323" s="55"/>
    </row>
    <row r="324" ht="14.25" customHeight="1">
      <c r="G324" s="55"/>
    </row>
    <row r="325" ht="14.25" customHeight="1">
      <c r="G325" s="55"/>
    </row>
    <row r="326" ht="14.25" customHeight="1">
      <c r="G326" s="55"/>
    </row>
    <row r="327" ht="14.25" customHeight="1">
      <c r="G327" s="55"/>
    </row>
    <row r="328" ht="14.25" customHeight="1">
      <c r="G328" s="55"/>
    </row>
    <row r="329" ht="14.25" customHeight="1">
      <c r="G329" s="55"/>
    </row>
    <row r="330" ht="14.25" customHeight="1">
      <c r="G330" s="55"/>
    </row>
    <row r="331" ht="14.25" customHeight="1">
      <c r="G331" s="55"/>
    </row>
    <row r="332" ht="14.25" customHeight="1">
      <c r="G332" s="55"/>
    </row>
    <row r="333" ht="14.25" customHeight="1">
      <c r="G333" s="55"/>
    </row>
    <row r="334" ht="14.25" customHeight="1">
      <c r="G334" s="55"/>
    </row>
    <row r="335" ht="14.25" customHeight="1">
      <c r="G335" s="55"/>
    </row>
    <row r="336" ht="14.25" customHeight="1">
      <c r="G336" s="55"/>
    </row>
    <row r="337" ht="14.25" customHeight="1">
      <c r="G337" s="55"/>
    </row>
    <row r="338" ht="14.25" customHeight="1">
      <c r="G338" s="55"/>
    </row>
    <row r="339" ht="14.25" customHeight="1">
      <c r="G339" s="55"/>
    </row>
    <row r="340" ht="14.25" customHeight="1">
      <c r="G340" s="55"/>
    </row>
    <row r="341" ht="14.25" customHeight="1">
      <c r="G341" s="55"/>
    </row>
    <row r="342" ht="14.25" customHeight="1">
      <c r="G342" s="55"/>
    </row>
    <row r="343" ht="14.25" customHeight="1">
      <c r="G343" s="55"/>
    </row>
    <row r="344" ht="14.25" customHeight="1">
      <c r="G344" s="55"/>
    </row>
    <row r="345" ht="14.25" customHeight="1">
      <c r="G345" s="55"/>
    </row>
    <row r="346" ht="14.25" customHeight="1">
      <c r="G346" s="55"/>
    </row>
    <row r="347" ht="14.25" customHeight="1">
      <c r="G347" s="55"/>
    </row>
    <row r="348" ht="14.25" customHeight="1">
      <c r="G348" s="55"/>
    </row>
    <row r="349" ht="14.25" customHeight="1">
      <c r="G349" s="55"/>
    </row>
    <row r="350" ht="14.25" customHeight="1">
      <c r="G350" s="55"/>
    </row>
    <row r="351" ht="14.25" customHeight="1">
      <c r="G351" s="55"/>
    </row>
    <row r="352" ht="14.25" customHeight="1">
      <c r="G352" s="55"/>
    </row>
    <row r="353" ht="14.25" customHeight="1">
      <c r="G353" s="55"/>
    </row>
    <row r="354" ht="14.25" customHeight="1">
      <c r="G354" s="55"/>
    </row>
    <row r="355" ht="14.25" customHeight="1">
      <c r="G355" s="55"/>
    </row>
    <row r="356" ht="14.25" customHeight="1">
      <c r="G356" s="55"/>
    </row>
    <row r="357" ht="14.25" customHeight="1">
      <c r="G357" s="55"/>
    </row>
    <row r="358" ht="14.25" customHeight="1">
      <c r="G358" s="55"/>
    </row>
    <row r="359" ht="14.25" customHeight="1">
      <c r="G359" s="55"/>
    </row>
    <row r="360" ht="14.25" customHeight="1">
      <c r="G360" s="55"/>
    </row>
    <row r="361" ht="14.25" customHeight="1">
      <c r="G361" s="55"/>
    </row>
    <row r="362" ht="14.25" customHeight="1">
      <c r="G362" s="55"/>
    </row>
    <row r="363" ht="14.25" customHeight="1">
      <c r="G363" s="55"/>
    </row>
    <row r="364" ht="14.25" customHeight="1">
      <c r="G364" s="55"/>
    </row>
    <row r="365" ht="14.25" customHeight="1">
      <c r="G365" s="55"/>
    </row>
    <row r="366" ht="14.25" customHeight="1">
      <c r="G366" s="55"/>
    </row>
    <row r="367" ht="14.25" customHeight="1">
      <c r="G367" s="55"/>
    </row>
    <row r="368" ht="14.25" customHeight="1">
      <c r="G368" s="55"/>
    </row>
    <row r="369" ht="14.25" customHeight="1">
      <c r="G369" s="55"/>
    </row>
    <row r="370" ht="14.25" customHeight="1">
      <c r="G370" s="55"/>
    </row>
    <row r="371" ht="14.25" customHeight="1">
      <c r="G371" s="55"/>
    </row>
    <row r="372" ht="14.25" customHeight="1">
      <c r="G372" s="55"/>
    </row>
    <row r="373" ht="14.25" customHeight="1">
      <c r="G373" s="55"/>
    </row>
    <row r="374" ht="14.25" customHeight="1">
      <c r="G374" s="55"/>
    </row>
    <row r="375" ht="14.25" customHeight="1">
      <c r="G375" s="55"/>
    </row>
    <row r="376" ht="14.25" customHeight="1">
      <c r="G376" s="55"/>
    </row>
    <row r="377" ht="14.25" customHeight="1">
      <c r="G377" s="55"/>
    </row>
    <row r="378" ht="14.25" customHeight="1">
      <c r="G378" s="55"/>
    </row>
    <row r="379" ht="14.25" customHeight="1">
      <c r="G379" s="55"/>
    </row>
    <row r="380" ht="14.25" customHeight="1">
      <c r="G380" s="55"/>
    </row>
    <row r="381" ht="14.25" customHeight="1">
      <c r="G381" s="55"/>
    </row>
    <row r="382" ht="14.25" customHeight="1">
      <c r="G382" s="55"/>
    </row>
    <row r="383" ht="14.25" customHeight="1">
      <c r="G383" s="55"/>
    </row>
    <row r="384" ht="14.25" customHeight="1">
      <c r="G384" s="55"/>
    </row>
    <row r="385" ht="14.25" customHeight="1">
      <c r="G385" s="55"/>
    </row>
    <row r="386" ht="14.25" customHeight="1">
      <c r="G386" s="55"/>
    </row>
    <row r="387" ht="14.25" customHeight="1">
      <c r="G387" s="55"/>
    </row>
    <row r="388" ht="14.25" customHeight="1">
      <c r="G388" s="55"/>
    </row>
    <row r="389" ht="14.25" customHeight="1">
      <c r="G389" s="55"/>
    </row>
    <row r="390" ht="14.25" customHeight="1">
      <c r="G390" s="55"/>
    </row>
    <row r="391" ht="14.25" customHeight="1">
      <c r="G391" s="55"/>
    </row>
    <row r="392" ht="14.25" customHeight="1">
      <c r="G392" s="55"/>
    </row>
    <row r="393" ht="14.25" customHeight="1">
      <c r="G393" s="55"/>
    </row>
    <row r="394" ht="14.25" customHeight="1">
      <c r="G394" s="55"/>
    </row>
    <row r="395" ht="14.25" customHeight="1">
      <c r="G395" s="55"/>
    </row>
    <row r="396" ht="14.25" customHeight="1">
      <c r="G396" s="55"/>
    </row>
    <row r="397" ht="14.25" customHeight="1">
      <c r="G397" s="55"/>
    </row>
    <row r="398" ht="14.25" customHeight="1">
      <c r="G398" s="55"/>
    </row>
    <row r="399" ht="14.25" customHeight="1">
      <c r="G399" s="55"/>
    </row>
    <row r="400" ht="14.25" customHeight="1">
      <c r="G400" s="55"/>
    </row>
    <row r="401" ht="14.25" customHeight="1">
      <c r="G401" s="55"/>
    </row>
    <row r="402" ht="14.25" customHeight="1">
      <c r="G402" s="55"/>
    </row>
    <row r="403" ht="14.25" customHeight="1">
      <c r="G403" s="55"/>
    </row>
    <row r="404" ht="14.25" customHeight="1">
      <c r="G404" s="55"/>
    </row>
    <row r="405" ht="14.25" customHeight="1">
      <c r="G405" s="55"/>
    </row>
    <row r="406" ht="14.25" customHeight="1">
      <c r="G406" s="55"/>
    </row>
    <row r="407" ht="14.25" customHeight="1">
      <c r="G407" s="55"/>
    </row>
    <row r="408" ht="14.25" customHeight="1">
      <c r="G408" s="55"/>
    </row>
    <row r="409" ht="14.25" customHeight="1">
      <c r="G409" s="55"/>
    </row>
    <row r="410" ht="14.25" customHeight="1">
      <c r="G410" s="55"/>
    </row>
    <row r="411" ht="14.25" customHeight="1">
      <c r="G411" s="55"/>
    </row>
    <row r="412" ht="14.25" customHeight="1">
      <c r="G412" s="55"/>
    </row>
    <row r="413" ht="14.25" customHeight="1">
      <c r="G413" s="55"/>
    </row>
    <row r="414" ht="14.25" customHeight="1">
      <c r="G414" s="55"/>
    </row>
    <row r="415" ht="14.25" customHeight="1">
      <c r="G415" s="55"/>
    </row>
    <row r="416" ht="14.25" customHeight="1">
      <c r="G416" s="55"/>
    </row>
    <row r="417" ht="14.25" customHeight="1">
      <c r="G417" s="55"/>
    </row>
    <row r="418" ht="14.25" customHeight="1">
      <c r="G418" s="55"/>
    </row>
    <row r="419" ht="14.25" customHeight="1">
      <c r="G419" s="55"/>
    </row>
    <row r="420" ht="14.25" customHeight="1">
      <c r="G420" s="55"/>
    </row>
    <row r="421" ht="14.25" customHeight="1">
      <c r="G421" s="55"/>
    </row>
    <row r="422" ht="14.25" customHeight="1">
      <c r="G422" s="55"/>
    </row>
    <row r="423" ht="14.25" customHeight="1">
      <c r="G423" s="55"/>
    </row>
    <row r="424" ht="14.25" customHeight="1">
      <c r="G424" s="55"/>
    </row>
    <row r="425" ht="14.25" customHeight="1">
      <c r="G425" s="55"/>
    </row>
    <row r="426" ht="14.25" customHeight="1">
      <c r="G426" s="55"/>
    </row>
    <row r="427" ht="14.25" customHeight="1">
      <c r="G427" s="55"/>
    </row>
    <row r="428" ht="14.25" customHeight="1">
      <c r="G428" s="55"/>
    </row>
    <row r="429" ht="14.25" customHeight="1">
      <c r="G429" s="55"/>
    </row>
    <row r="430" ht="14.25" customHeight="1">
      <c r="G430" s="55"/>
    </row>
    <row r="431" ht="14.25" customHeight="1">
      <c r="G431" s="55"/>
    </row>
    <row r="432" ht="14.25" customHeight="1">
      <c r="G432" s="55"/>
    </row>
    <row r="433" ht="14.25" customHeight="1">
      <c r="G433" s="55"/>
    </row>
    <row r="434" ht="14.25" customHeight="1">
      <c r="G434" s="55"/>
    </row>
    <row r="435" ht="14.25" customHeight="1">
      <c r="G435" s="55"/>
    </row>
    <row r="436" ht="14.25" customHeight="1">
      <c r="G436" s="55"/>
    </row>
    <row r="437" ht="14.25" customHeight="1">
      <c r="G437" s="55"/>
    </row>
    <row r="438" ht="14.25" customHeight="1">
      <c r="G438" s="55"/>
    </row>
    <row r="439" ht="14.25" customHeight="1">
      <c r="G439" s="55"/>
    </row>
    <row r="440" ht="14.25" customHeight="1">
      <c r="G440" s="55"/>
    </row>
    <row r="441" ht="14.25" customHeight="1">
      <c r="G441" s="55"/>
    </row>
    <row r="442" ht="14.25" customHeight="1">
      <c r="G442" s="55"/>
    </row>
    <row r="443" ht="14.25" customHeight="1">
      <c r="G443" s="55"/>
    </row>
    <row r="444" ht="14.25" customHeight="1">
      <c r="G444" s="55"/>
    </row>
    <row r="445" ht="14.25" customHeight="1">
      <c r="G445" s="55"/>
    </row>
    <row r="446" ht="14.25" customHeight="1">
      <c r="G446" s="55"/>
    </row>
    <row r="447" ht="14.25" customHeight="1">
      <c r="G447" s="55"/>
    </row>
    <row r="448" ht="14.25" customHeight="1">
      <c r="G448" s="55"/>
    </row>
    <row r="449" ht="14.25" customHeight="1">
      <c r="G449" s="55"/>
    </row>
    <row r="450" ht="14.25" customHeight="1">
      <c r="G450" s="55"/>
    </row>
    <row r="451" ht="14.25" customHeight="1">
      <c r="G451" s="55"/>
    </row>
    <row r="452" ht="14.25" customHeight="1">
      <c r="G452" s="55"/>
    </row>
    <row r="453" ht="14.25" customHeight="1">
      <c r="G453" s="55"/>
    </row>
    <row r="454" ht="14.25" customHeight="1">
      <c r="G454" s="55"/>
    </row>
    <row r="455" ht="14.25" customHeight="1">
      <c r="G455" s="55"/>
    </row>
    <row r="456" ht="14.25" customHeight="1">
      <c r="G456" s="55"/>
    </row>
    <row r="457" ht="14.25" customHeight="1">
      <c r="G457" s="55"/>
    </row>
    <row r="458" ht="14.25" customHeight="1">
      <c r="G458" s="55"/>
    </row>
    <row r="459" ht="14.25" customHeight="1">
      <c r="G459" s="55"/>
    </row>
    <row r="460" ht="14.25" customHeight="1">
      <c r="G460" s="55"/>
    </row>
    <row r="461" ht="14.25" customHeight="1">
      <c r="G461" s="55"/>
    </row>
    <row r="462" ht="14.25" customHeight="1">
      <c r="G462" s="55"/>
    </row>
    <row r="463" ht="14.25" customHeight="1">
      <c r="G463" s="55"/>
    </row>
    <row r="464" ht="14.25" customHeight="1">
      <c r="G464" s="55"/>
    </row>
    <row r="465" ht="14.25" customHeight="1">
      <c r="G465" s="55"/>
    </row>
    <row r="466" ht="14.25" customHeight="1">
      <c r="G466" s="55"/>
    </row>
    <row r="467" ht="14.25" customHeight="1">
      <c r="G467" s="55"/>
    </row>
    <row r="468" ht="14.25" customHeight="1">
      <c r="G468" s="55"/>
    </row>
    <row r="469" ht="14.25" customHeight="1">
      <c r="G469" s="55"/>
    </row>
    <row r="470" ht="14.25" customHeight="1">
      <c r="G470" s="55"/>
    </row>
    <row r="471" ht="14.25" customHeight="1">
      <c r="G471" s="55"/>
    </row>
    <row r="472" ht="14.25" customHeight="1">
      <c r="G472" s="55"/>
    </row>
    <row r="473" ht="14.25" customHeight="1">
      <c r="G473" s="55"/>
    </row>
    <row r="474" ht="14.25" customHeight="1">
      <c r="G474" s="55"/>
    </row>
    <row r="475" ht="14.25" customHeight="1">
      <c r="G475" s="55"/>
    </row>
    <row r="476" ht="14.25" customHeight="1">
      <c r="G476" s="55"/>
    </row>
    <row r="477" ht="14.25" customHeight="1">
      <c r="G477" s="55"/>
    </row>
    <row r="478" ht="14.25" customHeight="1">
      <c r="G478" s="55"/>
    </row>
    <row r="479" ht="14.25" customHeight="1">
      <c r="G479" s="55"/>
    </row>
    <row r="480" ht="14.25" customHeight="1">
      <c r="G480" s="55"/>
    </row>
    <row r="481" ht="14.25" customHeight="1">
      <c r="G481" s="55"/>
    </row>
    <row r="482" ht="14.25" customHeight="1">
      <c r="G482" s="55"/>
    </row>
    <row r="483" ht="14.25" customHeight="1">
      <c r="G483" s="55"/>
    </row>
    <row r="484" ht="14.25" customHeight="1">
      <c r="G484" s="55"/>
    </row>
    <row r="485" ht="14.25" customHeight="1">
      <c r="G485" s="55"/>
    </row>
    <row r="486" ht="14.25" customHeight="1">
      <c r="G486" s="55"/>
    </row>
    <row r="487" ht="14.25" customHeight="1">
      <c r="G487" s="55"/>
    </row>
    <row r="488" ht="14.25" customHeight="1">
      <c r="G488" s="55"/>
    </row>
    <row r="489" ht="14.25" customHeight="1">
      <c r="G489" s="55"/>
    </row>
    <row r="490" ht="14.25" customHeight="1">
      <c r="G490" s="55"/>
    </row>
    <row r="491" ht="14.25" customHeight="1">
      <c r="G491" s="55"/>
    </row>
    <row r="492" ht="14.25" customHeight="1">
      <c r="G492" s="55"/>
    </row>
    <row r="493" ht="14.25" customHeight="1">
      <c r="G493" s="55"/>
    </row>
    <row r="494" ht="14.25" customHeight="1">
      <c r="G494" s="55"/>
    </row>
    <row r="495" ht="14.25" customHeight="1">
      <c r="G495" s="55"/>
    </row>
    <row r="496" ht="14.25" customHeight="1">
      <c r="G496" s="55"/>
    </row>
    <row r="497" ht="14.25" customHeight="1">
      <c r="G497" s="55"/>
    </row>
    <row r="498" ht="14.25" customHeight="1">
      <c r="G498" s="55"/>
    </row>
    <row r="499" ht="14.25" customHeight="1">
      <c r="G499" s="55"/>
    </row>
    <row r="500" ht="14.25" customHeight="1">
      <c r="G500" s="55"/>
    </row>
    <row r="501" ht="14.25" customHeight="1">
      <c r="G501" s="55"/>
    </row>
    <row r="502" ht="14.25" customHeight="1">
      <c r="G502" s="55"/>
    </row>
    <row r="503" ht="14.25" customHeight="1">
      <c r="G503" s="55"/>
    </row>
    <row r="504" ht="14.25" customHeight="1">
      <c r="G504" s="55"/>
    </row>
    <row r="505" ht="14.25" customHeight="1">
      <c r="G505" s="55"/>
    </row>
    <row r="506" ht="14.25" customHeight="1">
      <c r="G506" s="55"/>
    </row>
    <row r="507" ht="14.25" customHeight="1">
      <c r="G507" s="55"/>
    </row>
    <row r="508" ht="14.25" customHeight="1">
      <c r="G508" s="55"/>
    </row>
    <row r="509" ht="14.25" customHeight="1">
      <c r="G509" s="55"/>
    </row>
    <row r="510" ht="14.25" customHeight="1">
      <c r="G510" s="55"/>
    </row>
    <row r="511" ht="14.25" customHeight="1">
      <c r="G511" s="55"/>
    </row>
    <row r="512" ht="14.25" customHeight="1">
      <c r="G512" s="55"/>
    </row>
    <row r="513" ht="14.25" customHeight="1">
      <c r="G513" s="55"/>
    </row>
    <row r="514" ht="14.25" customHeight="1">
      <c r="G514" s="55"/>
    </row>
    <row r="515" ht="14.25" customHeight="1">
      <c r="G515" s="55"/>
    </row>
    <row r="516" ht="14.25" customHeight="1">
      <c r="G516" s="55"/>
    </row>
    <row r="517" ht="14.25" customHeight="1">
      <c r="G517" s="55"/>
    </row>
    <row r="518" ht="14.25" customHeight="1">
      <c r="G518" s="55"/>
    </row>
    <row r="519" ht="14.25" customHeight="1">
      <c r="G519" s="55"/>
    </row>
    <row r="520" ht="14.25" customHeight="1">
      <c r="G520" s="55"/>
    </row>
    <row r="521" ht="14.25" customHeight="1">
      <c r="G521" s="55"/>
    </row>
    <row r="522" ht="14.25" customHeight="1">
      <c r="G522" s="55"/>
    </row>
    <row r="523" ht="14.25" customHeight="1">
      <c r="G523" s="55"/>
    </row>
    <row r="524" ht="14.25" customHeight="1">
      <c r="G524" s="55"/>
    </row>
    <row r="525" ht="14.25" customHeight="1">
      <c r="G525" s="55"/>
    </row>
    <row r="526" ht="14.25" customHeight="1">
      <c r="G526" s="55"/>
    </row>
    <row r="527" ht="14.25" customHeight="1">
      <c r="G527" s="55"/>
    </row>
    <row r="528" ht="14.25" customHeight="1">
      <c r="G528" s="55"/>
    </row>
    <row r="529" ht="14.25" customHeight="1">
      <c r="G529" s="55"/>
    </row>
    <row r="530" ht="14.25" customHeight="1">
      <c r="G530" s="55"/>
    </row>
    <row r="531" ht="14.25" customHeight="1">
      <c r="G531" s="55"/>
    </row>
    <row r="532" ht="14.25" customHeight="1">
      <c r="G532" s="55"/>
    </row>
    <row r="533" ht="14.25" customHeight="1">
      <c r="G533" s="55"/>
    </row>
    <row r="534" ht="14.25" customHeight="1">
      <c r="G534" s="55"/>
    </row>
    <row r="535" ht="14.25" customHeight="1">
      <c r="G535" s="55"/>
    </row>
    <row r="536" ht="14.25" customHeight="1">
      <c r="G536" s="55"/>
    </row>
    <row r="537" ht="14.25" customHeight="1">
      <c r="G537" s="55"/>
    </row>
    <row r="538" ht="14.25" customHeight="1">
      <c r="G538" s="55"/>
    </row>
    <row r="539" ht="14.25" customHeight="1">
      <c r="G539" s="55"/>
    </row>
    <row r="540" ht="14.25" customHeight="1">
      <c r="G540" s="55"/>
    </row>
    <row r="541" ht="14.25" customHeight="1">
      <c r="G541" s="55"/>
    </row>
    <row r="542" ht="14.25" customHeight="1">
      <c r="G542" s="55"/>
    </row>
    <row r="543" ht="14.25" customHeight="1">
      <c r="G543" s="55"/>
    </row>
    <row r="544" ht="14.25" customHeight="1">
      <c r="G544" s="55"/>
    </row>
    <row r="545" ht="14.25" customHeight="1">
      <c r="G545" s="55"/>
    </row>
    <row r="546" ht="14.25" customHeight="1">
      <c r="G546" s="55"/>
    </row>
    <row r="547" ht="14.25" customHeight="1">
      <c r="G547" s="55"/>
    </row>
    <row r="548" ht="14.25" customHeight="1">
      <c r="G548" s="55"/>
    </row>
    <row r="549" ht="14.25" customHeight="1">
      <c r="G549" s="55"/>
    </row>
    <row r="550" ht="14.25" customHeight="1">
      <c r="G550" s="55"/>
    </row>
    <row r="551" ht="14.25" customHeight="1">
      <c r="G551" s="55"/>
    </row>
    <row r="552" ht="14.25" customHeight="1">
      <c r="G552" s="55"/>
    </row>
    <row r="553" ht="14.25" customHeight="1">
      <c r="G553" s="55"/>
    </row>
    <row r="554" ht="14.25" customHeight="1">
      <c r="G554" s="55"/>
    </row>
    <row r="555" ht="14.25" customHeight="1">
      <c r="G555" s="55"/>
    </row>
    <row r="556" ht="14.25" customHeight="1">
      <c r="G556" s="55"/>
    </row>
    <row r="557" ht="14.25" customHeight="1">
      <c r="G557" s="55"/>
    </row>
    <row r="558" ht="14.25" customHeight="1">
      <c r="G558" s="55"/>
    </row>
    <row r="559" ht="14.25" customHeight="1">
      <c r="G559" s="55"/>
    </row>
    <row r="560" ht="14.25" customHeight="1">
      <c r="G560" s="55"/>
    </row>
    <row r="561" ht="14.25" customHeight="1">
      <c r="G561" s="55"/>
    </row>
    <row r="562" ht="14.25" customHeight="1">
      <c r="G562" s="55"/>
    </row>
    <row r="563" ht="14.25" customHeight="1">
      <c r="G563" s="55"/>
    </row>
    <row r="564" ht="14.25" customHeight="1">
      <c r="G564" s="55"/>
    </row>
    <row r="565" ht="14.25" customHeight="1">
      <c r="G565" s="55"/>
    </row>
    <row r="566" ht="14.25" customHeight="1">
      <c r="G566" s="55"/>
    </row>
    <row r="567" ht="14.25" customHeight="1">
      <c r="G567" s="55"/>
    </row>
    <row r="568" ht="14.25" customHeight="1">
      <c r="G568" s="55"/>
    </row>
    <row r="569" ht="14.25" customHeight="1">
      <c r="G569" s="55"/>
    </row>
    <row r="570" ht="14.25" customHeight="1">
      <c r="G570" s="55"/>
    </row>
    <row r="571" ht="14.25" customHeight="1">
      <c r="G571" s="55"/>
    </row>
    <row r="572" ht="14.25" customHeight="1">
      <c r="G572" s="55"/>
    </row>
    <row r="573" ht="14.25" customHeight="1">
      <c r="G573" s="55"/>
    </row>
    <row r="574" ht="14.25" customHeight="1">
      <c r="G574" s="55"/>
    </row>
    <row r="575" ht="14.25" customHeight="1">
      <c r="G575" s="55"/>
    </row>
    <row r="576" ht="14.25" customHeight="1">
      <c r="G576" s="55"/>
    </row>
    <row r="577" ht="14.25" customHeight="1">
      <c r="G577" s="55"/>
    </row>
    <row r="578" ht="14.25" customHeight="1">
      <c r="G578" s="55"/>
    </row>
    <row r="579" ht="14.25" customHeight="1">
      <c r="G579" s="55"/>
    </row>
    <row r="580" ht="14.25" customHeight="1">
      <c r="G580" s="55"/>
    </row>
    <row r="581" ht="14.25" customHeight="1">
      <c r="G581" s="55"/>
    </row>
    <row r="582" ht="14.25" customHeight="1">
      <c r="G582" s="55"/>
    </row>
    <row r="583" ht="14.25" customHeight="1">
      <c r="G583" s="55"/>
    </row>
    <row r="584" ht="14.25" customHeight="1">
      <c r="G584" s="55"/>
    </row>
    <row r="585" ht="14.25" customHeight="1">
      <c r="G585" s="55"/>
    </row>
    <row r="586" ht="14.25" customHeight="1">
      <c r="G586" s="55"/>
    </row>
    <row r="587" ht="14.25" customHeight="1">
      <c r="G587" s="55"/>
    </row>
    <row r="588" ht="14.25" customHeight="1">
      <c r="G588" s="55"/>
    </row>
    <row r="589" ht="14.25" customHeight="1">
      <c r="G589" s="55"/>
    </row>
    <row r="590" ht="14.25" customHeight="1">
      <c r="G590" s="55"/>
    </row>
    <row r="591" ht="14.25" customHeight="1">
      <c r="G591" s="55"/>
    </row>
    <row r="592" ht="14.25" customHeight="1">
      <c r="G592" s="55"/>
    </row>
    <row r="593" ht="14.25" customHeight="1">
      <c r="G593" s="55"/>
    </row>
    <row r="594" ht="14.25" customHeight="1">
      <c r="G594" s="55"/>
    </row>
    <row r="595" ht="14.25" customHeight="1">
      <c r="G595" s="55"/>
    </row>
    <row r="596" ht="14.25" customHeight="1">
      <c r="G596" s="55"/>
    </row>
    <row r="597" ht="14.25" customHeight="1">
      <c r="G597" s="55"/>
    </row>
    <row r="598" ht="14.25" customHeight="1">
      <c r="G598" s="55"/>
    </row>
    <row r="599" ht="14.25" customHeight="1">
      <c r="G599" s="55"/>
    </row>
    <row r="600" ht="14.25" customHeight="1">
      <c r="G600" s="55"/>
    </row>
    <row r="601" ht="14.25" customHeight="1">
      <c r="G601" s="55"/>
    </row>
    <row r="602" ht="14.25" customHeight="1">
      <c r="G602" s="55"/>
    </row>
    <row r="603" ht="14.25" customHeight="1">
      <c r="G603" s="55"/>
    </row>
    <row r="604" ht="14.25" customHeight="1">
      <c r="G604" s="55"/>
    </row>
    <row r="605" ht="14.25" customHeight="1">
      <c r="G605" s="55"/>
    </row>
    <row r="606" ht="14.25" customHeight="1">
      <c r="G606" s="55"/>
    </row>
    <row r="607" ht="14.25" customHeight="1">
      <c r="G607" s="55"/>
    </row>
    <row r="608" ht="14.25" customHeight="1">
      <c r="G608" s="55"/>
    </row>
    <row r="609" ht="14.25" customHeight="1">
      <c r="G609" s="55"/>
    </row>
    <row r="610" ht="14.25" customHeight="1">
      <c r="G610" s="55"/>
    </row>
    <row r="611" ht="14.25" customHeight="1">
      <c r="G611" s="55"/>
    </row>
    <row r="612" ht="14.25" customHeight="1">
      <c r="G612" s="55"/>
    </row>
    <row r="613" ht="14.25" customHeight="1">
      <c r="G613" s="55"/>
    </row>
    <row r="614" ht="14.25" customHeight="1">
      <c r="G614" s="55"/>
    </row>
    <row r="615" ht="14.25" customHeight="1">
      <c r="G615" s="55"/>
    </row>
    <row r="616" ht="14.25" customHeight="1">
      <c r="G616" s="55"/>
    </row>
    <row r="617" ht="14.25" customHeight="1">
      <c r="G617" s="55"/>
    </row>
    <row r="618" ht="14.25" customHeight="1">
      <c r="G618" s="55"/>
    </row>
    <row r="619" ht="14.25" customHeight="1">
      <c r="G619" s="55"/>
    </row>
    <row r="620" ht="14.25" customHeight="1">
      <c r="G620" s="55"/>
    </row>
    <row r="621" ht="14.25" customHeight="1">
      <c r="G621" s="55"/>
    </row>
    <row r="622" ht="14.25" customHeight="1">
      <c r="G622" s="55"/>
    </row>
    <row r="623" ht="14.25" customHeight="1">
      <c r="G623" s="55"/>
    </row>
    <row r="624" ht="14.25" customHeight="1">
      <c r="G624" s="55"/>
    </row>
    <row r="625" ht="14.25" customHeight="1">
      <c r="G625" s="55"/>
    </row>
    <row r="626" ht="14.25" customHeight="1">
      <c r="G626" s="55"/>
    </row>
    <row r="627" ht="14.25" customHeight="1">
      <c r="G627" s="55"/>
    </row>
    <row r="628" ht="14.25" customHeight="1">
      <c r="G628" s="55"/>
    </row>
    <row r="629" ht="14.25" customHeight="1">
      <c r="G629" s="55"/>
    </row>
    <row r="630" ht="14.25" customHeight="1">
      <c r="G630" s="55"/>
    </row>
    <row r="631" ht="14.25" customHeight="1">
      <c r="G631" s="55"/>
    </row>
    <row r="632" ht="14.25" customHeight="1">
      <c r="G632" s="55"/>
    </row>
    <row r="633" ht="14.25" customHeight="1">
      <c r="G633" s="55"/>
    </row>
    <row r="634" ht="14.25" customHeight="1">
      <c r="G634" s="55"/>
    </row>
    <row r="635" ht="14.25" customHeight="1">
      <c r="G635" s="55"/>
    </row>
    <row r="636" ht="14.25" customHeight="1">
      <c r="G636" s="55"/>
    </row>
    <row r="637" ht="14.25" customHeight="1">
      <c r="G637" s="55"/>
    </row>
    <row r="638" ht="14.25" customHeight="1">
      <c r="G638" s="55"/>
    </row>
    <row r="639" ht="14.25" customHeight="1">
      <c r="G639" s="55"/>
    </row>
    <row r="640" ht="14.25" customHeight="1">
      <c r="G640" s="55"/>
    </row>
    <row r="641" ht="14.25" customHeight="1">
      <c r="G641" s="55"/>
    </row>
    <row r="642" ht="14.25" customHeight="1">
      <c r="G642" s="55"/>
    </row>
    <row r="643" ht="14.25" customHeight="1">
      <c r="G643" s="55"/>
    </row>
    <row r="644" ht="14.25" customHeight="1">
      <c r="G644" s="55"/>
    </row>
    <row r="645" ht="14.25" customHeight="1">
      <c r="G645" s="55"/>
    </row>
    <row r="646" ht="14.25" customHeight="1">
      <c r="G646" s="55"/>
    </row>
    <row r="647" ht="14.25" customHeight="1">
      <c r="G647" s="55"/>
    </row>
    <row r="648" ht="14.25" customHeight="1">
      <c r="G648" s="55"/>
    </row>
    <row r="649" ht="14.25" customHeight="1">
      <c r="G649" s="55"/>
    </row>
    <row r="650" ht="14.25" customHeight="1">
      <c r="G650" s="55"/>
    </row>
    <row r="651" ht="14.25" customHeight="1">
      <c r="G651" s="55"/>
    </row>
    <row r="652" ht="14.25" customHeight="1">
      <c r="G652" s="55"/>
    </row>
    <row r="653" ht="14.25" customHeight="1">
      <c r="G653" s="55"/>
    </row>
    <row r="654" ht="14.25" customHeight="1">
      <c r="G654" s="55"/>
    </row>
    <row r="655" ht="14.25" customHeight="1">
      <c r="G655" s="55"/>
    </row>
    <row r="656" ht="14.25" customHeight="1">
      <c r="G656" s="55"/>
    </row>
    <row r="657" ht="14.25" customHeight="1">
      <c r="G657" s="55"/>
    </row>
    <row r="658" ht="14.25" customHeight="1">
      <c r="G658" s="55"/>
    </row>
    <row r="659" ht="14.25" customHeight="1">
      <c r="G659" s="55"/>
    </row>
    <row r="660" ht="14.25" customHeight="1">
      <c r="G660" s="55"/>
    </row>
    <row r="661" ht="14.25" customHeight="1">
      <c r="G661" s="55"/>
    </row>
    <row r="662" ht="14.25" customHeight="1">
      <c r="G662" s="55"/>
    </row>
    <row r="663" ht="14.25" customHeight="1">
      <c r="G663" s="55"/>
    </row>
    <row r="664" ht="14.25" customHeight="1">
      <c r="G664" s="55"/>
    </row>
    <row r="665" ht="14.25" customHeight="1">
      <c r="G665" s="55"/>
    </row>
    <row r="666" ht="14.25" customHeight="1">
      <c r="G666" s="55"/>
    </row>
    <row r="667" ht="14.25" customHeight="1">
      <c r="G667" s="55"/>
    </row>
    <row r="668" ht="14.25" customHeight="1">
      <c r="G668" s="55"/>
    </row>
    <row r="669" ht="14.25" customHeight="1">
      <c r="G669" s="55"/>
    </row>
    <row r="670" ht="14.25" customHeight="1">
      <c r="G670" s="55"/>
    </row>
    <row r="671" ht="14.25" customHeight="1">
      <c r="G671" s="55"/>
    </row>
    <row r="672" ht="14.25" customHeight="1">
      <c r="G672" s="55"/>
    </row>
    <row r="673" ht="14.25" customHeight="1">
      <c r="G673" s="55"/>
    </row>
    <row r="674" ht="14.25" customHeight="1">
      <c r="G674" s="55"/>
    </row>
    <row r="675" ht="14.25" customHeight="1">
      <c r="G675" s="55"/>
    </row>
    <row r="676" ht="14.25" customHeight="1">
      <c r="G676" s="55"/>
    </row>
    <row r="677" ht="14.25" customHeight="1">
      <c r="G677" s="55"/>
    </row>
    <row r="678" ht="14.25" customHeight="1">
      <c r="G678" s="55"/>
    </row>
    <row r="679" ht="14.25" customHeight="1">
      <c r="G679" s="55"/>
    </row>
    <row r="680" ht="14.25" customHeight="1">
      <c r="G680" s="55"/>
    </row>
    <row r="681" ht="14.25" customHeight="1">
      <c r="G681" s="55"/>
    </row>
    <row r="682" ht="14.25" customHeight="1">
      <c r="G682" s="55"/>
    </row>
    <row r="683" ht="14.25" customHeight="1">
      <c r="G683" s="55"/>
    </row>
    <row r="684" ht="14.25" customHeight="1">
      <c r="G684" s="55"/>
    </row>
    <row r="685" ht="14.25" customHeight="1">
      <c r="G685" s="55"/>
    </row>
    <row r="686" ht="14.25" customHeight="1">
      <c r="G686" s="55"/>
    </row>
    <row r="687" ht="14.25" customHeight="1">
      <c r="G687" s="55"/>
    </row>
    <row r="688" ht="14.25" customHeight="1">
      <c r="G688" s="55"/>
    </row>
    <row r="689" ht="14.25" customHeight="1">
      <c r="G689" s="55"/>
    </row>
    <row r="690" ht="14.25" customHeight="1">
      <c r="G690" s="55"/>
    </row>
    <row r="691" ht="14.25" customHeight="1">
      <c r="G691" s="55"/>
    </row>
    <row r="692" ht="14.25" customHeight="1">
      <c r="G692" s="55"/>
    </row>
    <row r="693" ht="14.25" customHeight="1">
      <c r="G693" s="55"/>
    </row>
    <row r="694" ht="14.25" customHeight="1">
      <c r="G694" s="55"/>
    </row>
    <row r="695" ht="14.25" customHeight="1">
      <c r="G695" s="55"/>
    </row>
    <row r="696" ht="14.25" customHeight="1">
      <c r="G696" s="55"/>
    </row>
    <row r="697" ht="14.25" customHeight="1">
      <c r="G697" s="55"/>
    </row>
    <row r="698" ht="14.25" customHeight="1">
      <c r="G698" s="55"/>
    </row>
    <row r="699" ht="14.25" customHeight="1">
      <c r="G699" s="55"/>
    </row>
    <row r="700" ht="14.25" customHeight="1">
      <c r="G700" s="55"/>
    </row>
    <row r="701" ht="14.25" customHeight="1">
      <c r="G701" s="55"/>
    </row>
    <row r="702" ht="14.25" customHeight="1">
      <c r="G702" s="55"/>
    </row>
    <row r="703" ht="14.25" customHeight="1">
      <c r="G703" s="55"/>
    </row>
    <row r="704" ht="14.25" customHeight="1">
      <c r="G704" s="55"/>
    </row>
    <row r="705" ht="14.25" customHeight="1">
      <c r="G705" s="55"/>
    </row>
    <row r="706" ht="14.25" customHeight="1">
      <c r="G706" s="55"/>
    </row>
    <row r="707" ht="14.25" customHeight="1">
      <c r="G707" s="55"/>
    </row>
    <row r="708" ht="14.25" customHeight="1">
      <c r="G708" s="55"/>
    </row>
    <row r="709" ht="14.25" customHeight="1">
      <c r="G709" s="55"/>
    </row>
    <row r="710" ht="14.25" customHeight="1">
      <c r="G710" s="55"/>
    </row>
    <row r="711" ht="14.25" customHeight="1">
      <c r="G711" s="55"/>
    </row>
    <row r="712" ht="14.25" customHeight="1">
      <c r="G712" s="55"/>
    </row>
    <row r="713" ht="14.25" customHeight="1">
      <c r="G713" s="55"/>
    </row>
    <row r="714" ht="14.25" customHeight="1">
      <c r="G714" s="55"/>
    </row>
    <row r="715" ht="14.25" customHeight="1">
      <c r="G715" s="55"/>
    </row>
    <row r="716" ht="14.25" customHeight="1">
      <c r="G716" s="55"/>
    </row>
    <row r="717" ht="14.25" customHeight="1">
      <c r="G717" s="55"/>
    </row>
    <row r="718" ht="14.25" customHeight="1">
      <c r="G718" s="55"/>
    </row>
    <row r="719" ht="14.25" customHeight="1">
      <c r="G719" s="55"/>
    </row>
    <row r="720" ht="14.25" customHeight="1">
      <c r="G720" s="55"/>
    </row>
    <row r="721" ht="14.25" customHeight="1">
      <c r="G721" s="55"/>
    </row>
    <row r="722" ht="14.25" customHeight="1">
      <c r="G722" s="55"/>
    </row>
    <row r="723" ht="14.25" customHeight="1">
      <c r="G723" s="55"/>
    </row>
    <row r="724" ht="14.25" customHeight="1">
      <c r="G724" s="55"/>
    </row>
    <row r="725" ht="14.25" customHeight="1">
      <c r="G725" s="55"/>
    </row>
    <row r="726" ht="14.25" customHeight="1">
      <c r="G726" s="55"/>
    </row>
    <row r="727" ht="14.25" customHeight="1">
      <c r="G727" s="55"/>
    </row>
    <row r="728" ht="14.25" customHeight="1">
      <c r="G728" s="55"/>
    </row>
    <row r="729" ht="14.25" customHeight="1">
      <c r="G729" s="55"/>
    </row>
    <row r="730" ht="14.25" customHeight="1">
      <c r="G730" s="55"/>
    </row>
    <row r="731" ht="14.25" customHeight="1">
      <c r="G731" s="55"/>
    </row>
    <row r="732" ht="14.25" customHeight="1">
      <c r="G732" s="55"/>
    </row>
    <row r="733" ht="14.25" customHeight="1">
      <c r="G733" s="55"/>
    </row>
    <row r="734" ht="14.25" customHeight="1">
      <c r="G734" s="55"/>
    </row>
    <row r="735" ht="14.25" customHeight="1">
      <c r="G735" s="55"/>
    </row>
    <row r="736" ht="14.25" customHeight="1">
      <c r="G736" s="55"/>
    </row>
    <row r="737" ht="14.25" customHeight="1">
      <c r="G737" s="55"/>
    </row>
    <row r="738" ht="14.25" customHeight="1">
      <c r="G738" s="55"/>
    </row>
    <row r="739" ht="14.25" customHeight="1">
      <c r="G739" s="55"/>
    </row>
    <row r="740" ht="14.25" customHeight="1">
      <c r="G740" s="55"/>
    </row>
    <row r="741" ht="14.25" customHeight="1">
      <c r="G741" s="55"/>
    </row>
    <row r="742" ht="14.25" customHeight="1">
      <c r="G742" s="55"/>
    </row>
    <row r="743" ht="14.25" customHeight="1">
      <c r="G743" s="55"/>
    </row>
    <row r="744" ht="14.25" customHeight="1">
      <c r="G744" s="55"/>
    </row>
    <row r="745" ht="14.25" customHeight="1">
      <c r="G745" s="55"/>
    </row>
    <row r="746" ht="14.25" customHeight="1">
      <c r="G746" s="55"/>
    </row>
    <row r="747" ht="14.25" customHeight="1">
      <c r="G747" s="55"/>
    </row>
    <row r="748" ht="14.25" customHeight="1">
      <c r="G748" s="55"/>
    </row>
    <row r="749" ht="14.25" customHeight="1">
      <c r="G749" s="55"/>
    </row>
    <row r="750" ht="14.25" customHeight="1">
      <c r="G750" s="55"/>
    </row>
    <row r="751" ht="14.25" customHeight="1">
      <c r="G751" s="55"/>
    </row>
    <row r="752" ht="14.25" customHeight="1">
      <c r="G752" s="55"/>
    </row>
    <row r="753" ht="14.25" customHeight="1">
      <c r="G753" s="55"/>
    </row>
    <row r="754" ht="14.25" customHeight="1">
      <c r="G754" s="55"/>
    </row>
    <row r="755" ht="14.25" customHeight="1">
      <c r="G755" s="55"/>
    </row>
    <row r="756" ht="14.25" customHeight="1">
      <c r="G756" s="55"/>
    </row>
    <row r="757" ht="14.25" customHeight="1">
      <c r="G757" s="55"/>
    </row>
    <row r="758" ht="14.25" customHeight="1">
      <c r="G758" s="55"/>
    </row>
    <row r="759" ht="14.25" customHeight="1">
      <c r="G759" s="55"/>
    </row>
    <row r="760" ht="14.25" customHeight="1">
      <c r="G760" s="55"/>
    </row>
    <row r="761" ht="14.25" customHeight="1">
      <c r="G761" s="55"/>
    </row>
    <row r="762" ht="14.25" customHeight="1">
      <c r="G762" s="55"/>
    </row>
    <row r="763" ht="14.25" customHeight="1">
      <c r="G763" s="55"/>
    </row>
    <row r="764" ht="14.25" customHeight="1">
      <c r="G764" s="55"/>
    </row>
    <row r="765" ht="14.25" customHeight="1">
      <c r="G765" s="55"/>
    </row>
    <row r="766" ht="14.25" customHeight="1">
      <c r="G766" s="55"/>
    </row>
    <row r="767" ht="14.25" customHeight="1">
      <c r="G767" s="55"/>
    </row>
    <row r="768" ht="14.25" customHeight="1">
      <c r="G768" s="55"/>
    </row>
    <row r="769" ht="14.25" customHeight="1">
      <c r="G769" s="55"/>
    </row>
    <row r="770" ht="14.25" customHeight="1">
      <c r="G770" s="55"/>
    </row>
    <row r="771" ht="14.25" customHeight="1">
      <c r="G771" s="55"/>
    </row>
    <row r="772" ht="14.25" customHeight="1">
      <c r="G772" s="55"/>
    </row>
    <row r="773" ht="14.25" customHeight="1">
      <c r="G773" s="55"/>
    </row>
    <row r="774" ht="14.25" customHeight="1">
      <c r="G774" s="55"/>
    </row>
    <row r="775" ht="14.25" customHeight="1">
      <c r="G775" s="55"/>
    </row>
    <row r="776" ht="14.25" customHeight="1">
      <c r="G776" s="55"/>
    </row>
    <row r="777" ht="14.25" customHeight="1">
      <c r="G777" s="55"/>
    </row>
    <row r="778" ht="14.25" customHeight="1">
      <c r="G778" s="55"/>
    </row>
    <row r="779" ht="14.25" customHeight="1">
      <c r="G779" s="55"/>
    </row>
    <row r="780" ht="14.25" customHeight="1">
      <c r="G780" s="55"/>
    </row>
    <row r="781" ht="14.25" customHeight="1">
      <c r="G781" s="55"/>
    </row>
    <row r="782" ht="14.25" customHeight="1">
      <c r="G782" s="55"/>
    </row>
    <row r="783" ht="14.25" customHeight="1">
      <c r="G783" s="55"/>
    </row>
    <row r="784" ht="14.25" customHeight="1">
      <c r="G784" s="55"/>
    </row>
    <row r="785" ht="14.25" customHeight="1">
      <c r="G785" s="55"/>
    </row>
    <row r="786" ht="14.25" customHeight="1">
      <c r="G786" s="55"/>
    </row>
    <row r="787" ht="14.25" customHeight="1">
      <c r="G787" s="55"/>
    </row>
    <row r="788" ht="14.25" customHeight="1">
      <c r="G788" s="55"/>
    </row>
    <row r="789" ht="14.25" customHeight="1">
      <c r="G789" s="55"/>
    </row>
    <row r="790" ht="14.25" customHeight="1">
      <c r="G790" s="55"/>
    </row>
    <row r="791" ht="14.25" customHeight="1">
      <c r="G791" s="55"/>
    </row>
    <row r="792" ht="14.25" customHeight="1">
      <c r="G792" s="55"/>
    </row>
    <row r="793" ht="14.25" customHeight="1">
      <c r="G793" s="55"/>
    </row>
    <row r="794" ht="14.25" customHeight="1">
      <c r="G794" s="55"/>
    </row>
    <row r="795" ht="14.25" customHeight="1">
      <c r="G795" s="55"/>
    </row>
    <row r="796" ht="14.25" customHeight="1">
      <c r="G796" s="55"/>
    </row>
    <row r="797" ht="14.25" customHeight="1">
      <c r="G797" s="55"/>
    </row>
    <row r="798" ht="14.25" customHeight="1">
      <c r="G798" s="55"/>
    </row>
    <row r="799" ht="14.25" customHeight="1">
      <c r="G799" s="55"/>
    </row>
    <row r="800" ht="14.25" customHeight="1">
      <c r="G800" s="55"/>
    </row>
    <row r="801" ht="14.25" customHeight="1">
      <c r="G801" s="55"/>
    </row>
    <row r="802" ht="14.25" customHeight="1">
      <c r="G802" s="55"/>
    </row>
    <row r="803" ht="14.25" customHeight="1">
      <c r="G803" s="55"/>
    </row>
    <row r="804" ht="14.25" customHeight="1">
      <c r="G804" s="55"/>
    </row>
    <row r="805" ht="14.25" customHeight="1">
      <c r="G805" s="55"/>
    </row>
    <row r="806" ht="14.25" customHeight="1">
      <c r="G806" s="55"/>
    </row>
    <row r="807" ht="14.25" customHeight="1">
      <c r="G807" s="55"/>
    </row>
    <row r="808" ht="14.25" customHeight="1">
      <c r="G808" s="55"/>
    </row>
    <row r="809" ht="14.25" customHeight="1">
      <c r="G809" s="55"/>
    </row>
    <row r="810" ht="14.25" customHeight="1">
      <c r="G810" s="55"/>
    </row>
    <row r="811" ht="14.25" customHeight="1">
      <c r="G811" s="55"/>
    </row>
    <row r="812" ht="14.25" customHeight="1">
      <c r="G812" s="55"/>
    </row>
    <row r="813" ht="14.25" customHeight="1">
      <c r="G813" s="55"/>
    </row>
    <row r="814" ht="14.25" customHeight="1">
      <c r="G814" s="55"/>
    </row>
    <row r="815" ht="14.25" customHeight="1">
      <c r="G815" s="55"/>
    </row>
    <row r="816" ht="14.25" customHeight="1">
      <c r="G816" s="55"/>
    </row>
    <row r="817" ht="14.25" customHeight="1">
      <c r="G817" s="55"/>
    </row>
    <row r="818" ht="14.25" customHeight="1">
      <c r="G818" s="55"/>
    </row>
    <row r="819" ht="14.25" customHeight="1">
      <c r="G819" s="55"/>
    </row>
    <row r="820" ht="14.25" customHeight="1">
      <c r="G820" s="55"/>
    </row>
    <row r="821" ht="14.25" customHeight="1">
      <c r="G821" s="55"/>
    </row>
    <row r="822" ht="14.25" customHeight="1">
      <c r="G822" s="55"/>
    </row>
    <row r="823" ht="14.25" customHeight="1">
      <c r="G823" s="55"/>
    </row>
    <row r="824" ht="14.25" customHeight="1">
      <c r="G824" s="55"/>
    </row>
    <row r="825" ht="14.25" customHeight="1">
      <c r="G825" s="55"/>
    </row>
    <row r="826" ht="14.25" customHeight="1">
      <c r="G826" s="55"/>
    </row>
    <row r="827" ht="14.25" customHeight="1">
      <c r="G827" s="55"/>
    </row>
    <row r="828" ht="14.25" customHeight="1">
      <c r="G828" s="55"/>
    </row>
    <row r="829" ht="14.25" customHeight="1">
      <c r="G829" s="55"/>
    </row>
    <row r="830" ht="14.25" customHeight="1">
      <c r="G830" s="55"/>
    </row>
    <row r="831" ht="14.25" customHeight="1">
      <c r="G831" s="55"/>
    </row>
    <row r="832" ht="14.25" customHeight="1">
      <c r="G832" s="55"/>
    </row>
    <row r="833" ht="14.25" customHeight="1">
      <c r="G833" s="55"/>
    </row>
    <row r="834" ht="14.25" customHeight="1">
      <c r="G834" s="55"/>
    </row>
    <row r="835" ht="14.25" customHeight="1">
      <c r="G835" s="55"/>
    </row>
    <row r="836" ht="14.25" customHeight="1">
      <c r="G836" s="55"/>
    </row>
    <row r="837" ht="14.25" customHeight="1">
      <c r="G837" s="55"/>
    </row>
    <row r="838" ht="14.25" customHeight="1">
      <c r="G838" s="55"/>
    </row>
    <row r="839" ht="14.25" customHeight="1">
      <c r="G839" s="55"/>
    </row>
    <row r="840" ht="14.25" customHeight="1">
      <c r="G840" s="55"/>
    </row>
    <row r="841" ht="14.25" customHeight="1">
      <c r="G841" s="55"/>
    </row>
    <row r="842" ht="14.25" customHeight="1">
      <c r="G842" s="55"/>
    </row>
    <row r="843" ht="14.25" customHeight="1">
      <c r="G843" s="55"/>
    </row>
    <row r="844" ht="14.25" customHeight="1">
      <c r="G844" s="55"/>
    </row>
    <row r="845" ht="14.25" customHeight="1">
      <c r="G845" s="55"/>
    </row>
    <row r="846" ht="14.25" customHeight="1">
      <c r="G846" s="55"/>
    </row>
    <row r="847" ht="14.25" customHeight="1">
      <c r="G847" s="55"/>
    </row>
    <row r="848" ht="14.25" customHeight="1">
      <c r="G848" s="55"/>
    </row>
    <row r="849" ht="14.25" customHeight="1">
      <c r="G849" s="55"/>
    </row>
    <row r="850" ht="14.25" customHeight="1">
      <c r="G850" s="55"/>
    </row>
    <row r="851" ht="14.25" customHeight="1">
      <c r="G851" s="55"/>
    </row>
    <row r="852" ht="14.25" customHeight="1">
      <c r="G852" s="55"/>
    </row>
    <row r="853" ht="14.25" customHeight="1">
      <c r="G853" s="55"/>
    </row>
    <row r="854" ht="14.25" customHeight="1">
      <c r="G854" s="55"/>
    </row>
    <row r="855" ht="14.25" customHeight="1">
      <c r="G855" s="55"/>
    </row>
    <row r="856" ht="14.25" customHeight="1">
      <c r="G856" s="55"/>
    </row>
    <row r="857" ht="14.25" customHeight="1">
      <c r="G857" s="55"/>
    </row>
    <row r="858" ht="14.25" customHeight="1">
      <c r="G858" s="55"/>
    </row>
    <row r="859" ht="14.25" customHeight="1">
      <c r="G859" s="55"/>
    </row>
    <row r="860" ht="14.25" customHeight="1">
      <c r="G860" s="55"/>
    </row>
    <row r="861" ht="14.25" customHeight="1">
      <c r="G861" s="55"/>
    </row>
    <row r="862" ht="14.25" customHeight="1">
      <c r="G862" s="55"/>
    </row>
    <row r="863" ht="14.25" customHeight="1">
      <c r="G863" s="55"/>
    </row>
    <row r="864" ht="14.25" customHeight="1">
      <c r="G864" s="55"/>
    </row>
    <row r="865" ht="14.25" customHeight="1">
      <c r="G865" s="55"/>
    </row>
    <row r="866" ht="14.25" customHeight="1">
      <c r="G866" s="55"/>
    </row>
    <row r="867" ht="14.25" customHeight="1">
      <c r="G867" s="55"/>
    </row>
    <row r="868" ht="14.25" customHeight="1">
      <c r="G868" s="55"/>
    </row>
    <row r="869" ht="14.25" customHeight="1">
      <c r="G869" s="55"/>
    </row>
    <row r="870" ht="14.25" customHeight="1">
      <c r="G870" s="55"/>
    </row>
    <row r="871" ht="14.25" customHeight="1">
      <c r="G871" s="55"/>
    </row>
    <row r="872" ht="14.25" customHeight="1">
      <c r="G872" s="55"/>
    </row>
    <row r="873" ht="14.25" customHeight="1">
      <c r="G873" s="55"/>
    </row>
    <row r="874" ht="14.25" customHeight="1">
      <c r="G874" s="55"/>
    </row>
    <row r="875" ht="14.25" customHeight="1">
      <c r="G875" s="55"/>
    </row>
    <row r="876" ht="14.25" customHeight="1">
      <c r="G876" s="55"/>
    </row>
    <row r="877" ht="14.25" customHeight="1">
      <c r="G877" s="55"/>
    </row>
    <row r="878" ht="14.25" customHeight="1">
      <c r="G878" s="55"/>
    </row>
    <row r="879" ht="14.25" customHeight="1">
      <c r="G879" s="55"/>
    </row>
    <row r="880" ht="14.25" customHeight="1">
      <c r="G880" s="55"/>
    </row>
    <row r="881" ht="14.25" customHeight="1">
      <c r="G881" s="55"/>
    </row>
    <row r="882" ht="14.25" customHeight="1">
      <c r="G882" s="55"/>
    </row>
    <row r="883" ht="14.25" customHeight="1">
      <c r="G883" s="55"/>
    </row>
    <row r="884" ht="14.25" customHeight="1">
      <c r="G884" s="55"/>
    </row>
    <row r="885" ht="14.25" customHeight="1">
      <c r="G885" s="55"/>
    </row>
    <row r="886" ht="14.25" customHeight="1">
      <c r="G886" s="55"/>
    </row>
    <row r="887" ht="14.25" customHeight="1">
      <c r="G887" s="55"/>
    </row>
    <row r="888" ht="14.25" customHeight="1">
      <c r="G888" s="55"/>
    </row>
    <row r="889" ht="14.25" customHeight="1">
      <c r="G889" s="55"/>
    </row>
    <row r="890" ht="14.25" customHeight="1">
      <c r="G890" s="55"/>
    </row>
    <row r="891" ht="14.25" customHeight="1">
      <c r="G891" s="55"/>
    </row>
    <row r="892" ht="14.25" customHeight="1">
      <c r="G892" s="55"/>
    </row>
    <row r="893" ht="14.25" customHeight="1">
      <c r="G893" s="55"/>
    </row>
    <row r="894" ht="14.25" customHeight="1">
      <c r="G894" s="55"/>
    </row>
    <row r="895" ht="14.25" customHeight="1">
      <c r="G895" s="55"/>
    </row>
    <row r="896" ht="14.25" customHeight="1">
      <c r="G896" s="55"/>
    </row>
    <row r="897" ht="14.25" customHeight="1">
      <c r="G897" s="55"/>
    </row>
    <row r="898" ht="14.25" customHeight="1">
      <c r="G898" s="55"/>
    </row>
    <row r="899" ht="14.25" customHeight="1">
      <c r="G899" s="55"/>
    </row>
    <row r="900" ht="14.25" customHeight="1">
      <c r="G900" s="55"/>
    </row>
    <row r="901" ht="14.25" customHeight="1">
      <c r="G901" s="55"/>
    </row>
    <row r="902" ht="14.25" customHeight="1">
      <c r="G902" s="55"/>
    </row>
    <row r="903" ht="14.25" customHeight="1">
      <c r="G903" s="55"/>
    </row>
    <row r="904" ht="14.25" customHeight="1">
      <c r="G904" s="55"/>
    </row>
    <row r="905" ht="14.25" customHeight="1">
      <c r="G905" s="55"/>
    </row>
    <row r="906" ht="14.25" customHeight="1">
      <c r="G906" s="55"/>
    </row>
  </sheetData>
  <mergeCells count="5">
    <mergeCell ref="F8:G8"/>
    <mergeCell ref="F10:G10"/>
    <mergeCell ref="B12:B15"/>
    <mergeCell ref="B18:B21"/>
    <mergeCell ref="B23:B24"/>
  </mergeCells>
  <conditionalFormatting sqref="C1">
    <cfRule type="notContainsBlanks" dxfId="8" priority="1">
      <formula>LEN(TRIM(C1))&gt;0</formula>
    </cfRule>
  </conditionalFormatting>
  <dataValidations>
    <dataValidation type="list" allowBlank="1" sqref="C40">
      <formula1>"Gross Margin,Net Margin"</formula1>
    </dataValidation>
    <dataValidation type="list" allowBlank="1" sqref="C3">
      <formula1>"Nómina,Prestación de Servicios,Deel/Ontop"</formula1>
    </dataValidation>
    <dataValidation type="list" allowBlank="1" showErrorMessage="1" sqref="C5">
      <formula1>"Cold Calling,Mercadeo,Directo,Network - Cold Calling,Referido Imagine"</formula1>
    </dataValidation>
    <dataValidation type="list" allowBlank="1" showErrorMessage="1" sqref="D27:D36">
      <formula1>"Nómina,P. Servicios"</formula1>
    </dataValidation>
    <dataValidation type="list" allowBlank="1" sqref="B27:B36">
      <formula1>'Parámetros'!$A$2:$A$113</formula1>
    </dataValidation>
    <dataValidation type="list" allowBlank="1" sqref="C2">
      <formula1>'Parámetros'!$A$118:$A$123</formula1>
    </dataValidation>
    <dataValidation type="list" allowBlank="1" sqref="C6">
      <formula1>"Perfil Sr.,Perfil Semi senior,Perfil Jr."</formula1>
    </dataValidation>
    <dataValidation type="list" allowBlank="1" sqref="D40">
      <formula1>"COP,USD"</formula1>
    </dataValidation>
  </dataValidations>
  <printOptions/>
  <pageMargins bottom="0.75" footer="0.0" header="0.0" left="0.7" right="0.7" top="0.75"/>
  <pageSetup orientation="portrait"/>
  <drawing r:id="rId1"/>
  <tableParts count="3">
    <tablePart r:id="rId5"/>
    <tablePart r:id="rId6"/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4.14"/>
    <col customWidth="1" min="2" max="2" width="38.43"/>
    <col customWidth="1" min="3" max="3" width="23.14"/>
    <col customWidth="1" min="4" max="4" width="16.29"/>
    <col customWidth="1" min="5" max="5" width="14.86"/>
    <col customWidth="1" min="6" max="6" width="18.0"/>
    <col customWidth="1" min="7" max="7" width="16.29"/>
    <col customWidth="1" min="8" max="8" width="16.14"/>
    <col customWidth="1" min="9" max="9" width="12.0"/>
    <col customWidth="1" min="10" max="10" width="26.57"/>
    <col customWidth="1" min="11" max="11" width="14.86"/>
    <col customWidth="1" min="12" max="12" width="14.71"/>
    <col customWidth="1" min="13" max="13" width="17.29"/>
    <col customWidth="1" min="14" max="14" width="15.57"/>
    <col customWidth="1" min="15" max="15" width="10.71"/>
    <col customWidth="1" min="16" max="16" width="23.14"/>
    <col customWidth="1" min="17" max="17" width="17.57"/>
    <col customWidth="1" min="18" max="18" width="15.71"/>
    <col customWidth="1" min="19" max="19" width="18.86"/>
    <col customWidth="1" hidden="1" min="20" max="20" width="13.71"/>
    <col customWidth="1" hidden="1" min="21" max="21" width="13.43"/>
    <col customWidth="1" hidden="1" min="22" max="32" width="10.71"/>
  </cols>
  <sheetData>
    <row r="1" ht="8.25" customHeight="1">
      <c r="A1" s="200"/>
      <c r="B1" s="200"/>
      <c r="C1" s="200"/>
      <c r="D1" s="200"/>
      <c r="E1" s="200"/>
      <c r="F1" s="200"/>
      <c r="G1" s="201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</row>
    <row r="2" ht="15.75" customHeight="1">
      <c r="A2" s="200"/>
      <c r="B2" s="202" t="s">
        <v>150</v>
      </c>
      <c r="C2" s="203" t="s">
        <v>95</v>
      </c>
      <c r="D2" s="204"/>
      <c r="E2" s="200"/>
      <c r="F2" s="200"/>
      <c r="G2" s="205"/>
      <c r="H2" s="206"/>
      <c r="I2" s="206"/>
      <c r="J2" s="207"/>
      <c r="K2" s="206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0"/>
      <c r="AD2" s="200"/>
      <c r="AE2" s="200"/>
      <c r="AF2" s="200"/>
    </row>
    <row r="3" ht="15.75" customHeight="1">
      <c r="A3" s="200"/>
      <c r="B3" s="202" t="s">
        <v>25</v>
      </c>
      <c r="C3" s="208" t="s">
        <v>151</v>
      </c>
      <c r="D3" s="16"/>
      <c r="E3" s="200"/>
      <c r="F3" s="209"/>
      <c r="G3" s="210"/>
      <c r="H3" s="200"/>
      <c r="I3" s="200"/>
      <c r="J3" s="211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200"/>
    </row>
    <row r="4" ht="15.75" customHeight="1">
      <c r="A4" s="200"/>
      <c r="B4" s="202" t="s">
        <v>152</v>
      </c>
      <c r="C4" s="212">
        <v>0.1</v>
      </c>
      <c r="D4" s="16"/>
      <c r="E4" s="200"/>
      <c r="H4" s="200"/>
      <c r="I4" s="200"/>
      <c r="J4" s="211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</row>
    <row r="5" ht="15.75" customHeight="1">
      <c r="A5" s="200"/>
      <c r="B5" s="213" t="s">
        <v>153</v>
      </c>
      <c r="C5" s="214" t="s">
        <v>134</v>
      </c>
      <c r="D5" s="16"/>
      <c r="F5" s="90"/>
      <c r="G5" s="215"/>
      <c r="I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</row>
    <row r="6" ht="15.75" customHeight="1">
      <c r="A6" s="200"/>
      <c r="B6" s="202" t="s">
        <v>154</v>
      </c>
      <c r="C6" s="214" t="s">
        <v>148</v>
      </c>
      <c r="D6" s="216"/>
      <c r="F6" s="217"/>
      <c r="G6" s="215"/>
      <c r="I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0"/>
      <c r="AA6" s="200"/>
      <c r="AB6" s="200"/>
      <c r="AC6" s="200"/>
      <c r="AD6" s="200"/>
      <c r="AE6" s="200"/>
      <c r="AF6" s="200"/>
    </row>
    <row r="7" ht="15.75" customHeight="1">
      <c r="A7" s="200"/>
      <c r="B7" s="202" t="s">
        <v>28</v>
      </c>
      <c r="C7" s="218">
        <v>0.0</v>
      </c>
      <c r="D7" s="216"/>
      <c r="F7" s="219" t="s">
        <v>155</v>
      </c>
      <c r="G7" s="220">
        <f>VLOOKUP($C$2,'Parámetros'!$A$118:$D$124,3,0)</f>
        <v>0.5</v>
      </c>
      <c r="I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  <c r="AA7" s="200"/>
      <c r="AB7" s="200"/>
      <c r="AC7" s="200"/>
      <c r="AD7" s="200"/>
      <c r="AE7" s="200"/>
      <c r="AF7" s="200"/>
    </row>
    <row r="8" ht="15.75" customHeight="1">
      <c r="A8" s="200"/>
      <c r="B8" s="202" t="s">
        <v>156</v>
      </c>
      <c r="C8" s="218">
        <v>0.0</v>
      </c>
      <c r="D8" s="204"/>
      <c r="F8" s="221" t="str">
        <f>IF(D13&gt;=G7,"Dentro del margen","¡Por debajo del margen!")</f>
        <v>¡Por debajo del margen!</v>
      </c>
      <c r="I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</row>
    <row r="9" ht="15.75" customHeight="1">
      <c r="A9" s="200"/>
      <c r="B9" s="202" t="s">
        <v>157</v>
      </c>
      <c r="C9" s="222"/>
      <c r="D9" s="204"/>
      <c r="E9" s="200"/>
      <c r="H9" s="200"/>
      <c r="I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200"/>
      <c r="AC9" s="200"/>
      <c r="AD9" s="200"/>
      <c r="AE9" s="200"/>
      <c r="AF9" s="200"/>
    </row>
    <row r="10" ht="15.75" customHeight="1">
      <c r="A10" s="200"/>
      <c r="B10" s="202" t="s">
        <v>158</v>
      </c>
      <c r="C10" s="208">
        <v>1.0</v>
      </c>
      <c r="D10" s="16"/>
      <c r="E10" s="200"/>
      <c r="H10" s="201"/>
      <c r="I10" s="223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</row>
    <row r="11" ht="15.75" customHeight="1">
      <c r="A11" s="200"/>
      <c r="B11" s="224"/>
      <c r="C11" s="16"/>
      <c r="D11" s="16"/>
      <c r="E11" s="200"/>
      <c r="F11" s="202" t="s">
        <v>44</v>
      </c>
      <c r="G11" s="225" t="s">
        <v>45</v>
      </c>
      <c r="H11" s="223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</row>
    <row r="12" ht="18.75" customHeight="1">
      <c r="B12" s="226" t="s">
        <v>7</v>
      </c>
      <c r="C12" s="17" t="s">
        <v>6</v>
      </c>
      <c r="D12" s="227">
        <f>F12*C4+IFS(C5="Cold Calling",2%*138.3522%,C5="Mercadeo",2%*101%,C5="Network - Cold Calling",2%*138.3522%,C5="Referido Imagine",5%*138.3522%,C5="Directo",0)*F12+ifs(AND(C6="Perfil Jr.",C2="Network"),200000,AND(C6="Perfil Sr.",C2="Network"),350000,AND(C2="Network",C6="Perfil Semi Senior"), 600000,C2="Proyecto",1,C2="Equipo dedicado",1,C2="Servidores",1,C2="Enterprise",1,C2="Descubrimiento",1)</f>
        <v>2192983.456</v>
      </c>
      <c r="E12" s="228" t="s">
        <v>159</v>
      </c>
      <c r="F12" s="229">
        <f>((C61+C57+C59)/((1-D13-'Parámetros'!L8*C7)))*IF(C8=1,102.4%,1)</f>
        <v>21929824.56</v>
      </c>
      <c r="G12" s="230">
        <f>F12/'Parámetros'!$L$3</f>
        <v>6177.415369</v>
      </c>
      <c r="H12" s="211"/>
      <c r="I12" s="15">
        <v>160.0</v>
      </c>
      <c r="J12" s="15">
        <v>1.0</v>
      </c>
      <c r="M12" s="23"/>
      <c r="N12" s="24"/>
      <c r="O12" s="24"/>
    </row>
    <row r="13" ht="18.75" customHeight="1">
      <c r="B13" s="27"/>
      <c r="C13" s="17" t="s">
        <v>9</v>
      </c>
      <c r="D13" s="231">
        <v>0.43</v>
      </c>
      <c r="E13" s="228" t="s">
        <v>160</v>
      </c>
      <c r="F13" s="229">
        <f>F12/C10</f>
        <v>21929824.56</v>
      </c>
      <c r="G13" s="230">
        <f>F13/'Parámetros'!$L$3</f>
        <v>6177.415369</v>
      </c>
      <c r="I13" s="15">
        <v>12.0</v>
      </c>
      <c r="J13" s="232">
        <f>I13*J12/I12</f>
        <v>0.075</v>
      </c>
      <c r="M13" s="23"/>
      <c r="N13" s="24"/>
      <c r="O13" s="24"/>
    </row>
    <row r="14" ht="18.75" customHeight="1">
      <c r="B14" s="27"/>
      <c r="C14" s="17" t="s">
        <v>15</v>
      </c>
      <c r="D14" s="227">
        <f>F12*'Parámetros'!L5</f>
        <v>151315.7895</v>
      </c>
      <c r="E14" s="228" t="s">
        <v>161</v>
      </c>
      <c r="F14" s="229">
        <f>F12/SUM(D43:D52)/C10</f>
        <v>81221.57245</v>
      </c>
      <c r="G14" s="230">
        <f>G12/SUM(D43:D52)/C10</f>
        <v>22.87931618</v>
      </c>
      <c r="L14" s="22"/>
      <c r="O14" s="28"/>
      <c r="P14" s="28"/>
      <c r="Q14" s="28"/>
    </row>
    <row r="15" ht="14.25" customHeight="1">
      <c r="B15" s="43"/>
      <c r="C15" s="17" t="s">
        <v>18</v>
      </c>
      <c r="D15" s="233">
        <f>(F12-C62-D14-D12-C7*'Parámetros'!L8*F12-IF(C8=1,2.4%,0)*F12)/F12</f>
        <v>0.09130242522</v>
      </c>
      <c r="F15" s="23"/>
      <c r="G15" s="55"/>
      <c r="I15" s="15" t="s">
        <v>162</v>
      </c>
      <c r="J15" s="234">
        <v>3127889.861152942</v>
      </c>
      <c r="L15" s="32"/>
      <c r="M15" s="33"/>
      <c r="O15" s="28"/>
      <c r="P15" s="28"/>
      <c r="Q15" s="28"/>
    </row>
    <row r="16" ht="14.25" customHeight="1">
      <c r="D16" s="235"/>
      <c r="F16" s="236"/>
      <c r="G16" s="55"/>
      <c r="H16" s="237"/>
      <c r="I16" s="238" t="s">
        <v>163</v>
      </c>
      <c r="J16" s="239">
        <v>5044796.574575055</v>
      </c>
      <c r="L16" s="32"/>
      <c r="M16" s="37"/>
      <c r="N16" s="38"/>
      <c r="O16" s="39"/>
    </row>
    <row r="17" ht="14.25" customHeight="1" collapsed="1">
      <c r="F17" s="236"/>
      <c r="G17" s="55"/>
      <c r="L17" s="22"/>
    </row>
    <row r="18" ht="15.75" hidden="1" customHeight="1" outlineLevel="1">
      <c r="B18" s="226" t="s">
        <v>22</v>
      </c>
      <c r="C18" s="17" t="s">
        <v>6</v>
      </c>
      <c r="D18" s="227">
        <f>F18*C4+IFS(C5="Cold Calling",2%*138.3522%,C5="Mercadeo",2%*101%,C5="Network - Cold Calling",2%*138.3522%,C5="Referido Imagine",5%*138.3522%,C5="Directo",0)*F18</f>
        <v>2536903.643</v>
      </c>
      <c r="E18" s="228" t="s">
        <v>159</v>
      </c>
      <c r="F18" s="229">
        <f>+C62/((1-IFS(C5="Cold Calling",2%*138.3522%,C5="Mercadeo",2%*101%,C5="Network - Cold Calling",2%*138.3522%,C5="Referido Imagine",5%*138.3522%,C5="Directo",0)-C4-D19-'Parámetros'!L5-C7*'Parámetros'!L8))*IF(C8=1,102.4%,1)</f>
        <v>25369036.43</v>
      </c>
      <c r="G18" s="230">
        <f>F18/'Parámetros'!L3</f>
        <v>7146.207445</v>
      </c>
      <c r="L18" s="22"/>
    </row>
    <row r="19" ht="16.5" hidden="1" customHeight="1" outlineLevel="1">
      <c r="B19" s="27"/>
      <c r="C19" s="17" t="s">
        <v>18</v>
      </c>
      <c r="D19" s="231">
        <v>0.2</v>
      </c>
      <c r="E19" s="228" t="s">
        <v>160</v>
      </c>
      <c r="F19" s="229">
        <f>F18/C10</f>
        <v>25369036.43</v>
      </c>
      <c r="G19" s="230">
        <f>G18/C10</f>
        <v>7146.207445</v>
      </c>
      <c r="L19" s="32"/>
      <c r="M19" s="33"/>
    </row>
    <row r="20" ht="17.25" hidden="1" customHeight="1" outlineLevel="1">
      <c r="B20" s="27"/>
      <c r="C20" s="17" t="s">
        <v>15</v>
      </c>
      <c r="D20" s="227">
        <f>F18*'Parámetros'!L5</f>
        <v>175046.3514</v>
      </c>
      <c r="E20" s="228" t="s">
        <v>161</v>
      </c>
      <c r="F20" s="229">
        <f>F18/SUM(D43:D52)/C10</f>
        <v>93959.39418</v>
      </c>
      <c r="G20" s="230">
        <f>G18/SUM(D43:D52)/C10</f>
        <v>26.46743498</v>
      </c>
      <c r="L20" s="22"/>
      <c r="M20" s="55"/>
    </row>
    <row r="21" ht="14.25" hidden="1" customHeight="1" outlineLevel="1">
      <c r="B21" s="43"/>
      <c r="C21" s="17" t="s">
        <v>9</v>
      </c>
      <c r="D21" s="240">
        <f>(((F18-C57-C59-C61-C7*'Parámetros'!L8*F18)-IF(C8=1,2.4%,0)*F18)/F18)</f>
        <v>0.5072733631</v>
      </c>
      <c r="E21" s="241"/>
      <c r="G21" s="55"/>
    </row>
    <row r="22" ht="14.25" customHeight="1">
      <c r="D22" s="55"/>
      <c r="E22" s="23"/>
      <c r="F22" s="242"/>
      <c r="G22" s="55"/>
    </row>
    <row r="23" ht="14.25" customHeight="1">
      <c r="B23" s="243" t="str">
        <f>'Parámetros'!B149</f>
        <v>Considerar como mínimo por cada Dev: 
 PM:33%, QA:20%, Diseño:10%</v>
      </c>
      <c r="C23" s="244"/>
      <c r="G23" s="55"/>
      <c r="M23" s="245"/>
    </row>
    <row r="24" ht="15.75" customHeight="1">
      <c r="B24" s="246"/>
      <c r="C24" s="244"/>
      <c r="G24" s="55"/>
      <c r="J24" s="15" t="s">
        <v>169</v>
      </c>
      <c r="K24" s="15">
        <v>22.0</v>
      </c>
      <c r="L24" s="15">
        <v>100.0</v>
      </c>
    </row>
    <row r="25" ht="15.75" customHeight="1">
      <c r="E25" s="247">
        <f>SUM(E27:E34)</f>
        <v>1.5</v>
      </c>
      <c r="G25" s="248"/>
      <c r="J25" s="15">
        <v>5.0</v>
      </c>
      <c r="K25" s="288">
        <f>J25*L24/K24</f>
        <v>22.72727273</v>
      </c>
      <c r="L25" s="234">
        <v>5729166.666666667</v>
      </c>
    </row>
    <row r="26" ht="14.25" customHeight="1">
      <c r="B26" s="249" t="s">
        <v>31</v>
      </c>
      <c r="C26" s="249" t="s">
        <v>32</v>
      </c>
      <c r="D26" s="249" t="s">
        <v>33</v>
      </c>
      <c r="E26" s="250" t="s">
        <v>35</v>
      </c>
      <c r="F26" s="250" t="s">
        <v>164</v>
      </c>
      <c r="G26" s="250" t="s">
        <v>165</v>
      </c>
      <c r="H26" s="250" t="s">
        <v>37</v>
      </c>
      <c r="I26" s="146"/>
      <c r="J26" s="289">
        <v>15.0</v>
      </c>
      <c r="K26" s="288">
        <f>J26*L24/K24</f>
        <v>68.18181818</v>
      </c>
      <c r="L26" s="73">
        <v>1.4912280701754387E7</v>
      </c>
    </row>
    <row r="27" ht="14.25" customHeight="1">
      <c r="A27" s="251">
        <f>IFERROR(__xludf.DUMMYFUNCTION("COUNTIF(SPLIT(B27,"" ""),""Developer"")"),0.0)</f>
        <v>0</v>
      </c>
      <c r="B27" s="252" t="s">
        <v>64</v>
      </c>
      <c r="C27" s="68">
        <v>5000000.0</v>
      </c>
      <c r="D27" s="208" t="s">
        <v>166</v>
      </c>
      <c r="E27" s="253">
        <v>0.5</v>
      </c>
      <c r="F27" s="68">
        <f t="shared" ref="F27:F28" si="1">+IFERROR(IF(D27="Nómina",C27*1.38352,C27),"")*E27</f>
        <v>2500000</v>
      </c>
      <c r="G27" s="68">
        <f t="shared" ref="G27:G28" si="2">F27*C$10</f>
        <v>2500000</v>
      </c>
      <c r="H27" s="254">
        <f>F27/(AVERAGE('Parámetros'!$F$5:$F$6)+$F$37)</f>
        <v>0.007215907767</v>
      </c>
      <c r="I27" s="146"/>
      <c r="J27" s="289">
        <v>20.0</v>
      </c>
      <c r="K27" s="288">
        <f>J27*L24/K24</f>
        <v>90.90909091</v>
      </c>
      <c r="L27" s="73">
        <v>2.1929824561403506E7</v>
      </c>
    </row>
    <row r="28" ht="14.25" customHeight="1">
      <c r="A28" s="251">
        <f>IFERROR(__xludf.DUMMYFUNCTION("COUNTIF(SPLIT(B28,"" ""),""Developer"")"),0.0)</f>
        <v>0</v>
      </c>
      <c r="B28" s="255" t="s">
        <v>59</v>
      </c>
      <c r="C28" s="68">
        <v>1.0E7</v>
      </c>
      <c r="D28" s="208" t="s">
        <v>166</v>
      </c>
      <c r="E28" s="256">
        <v>1.0</v>
      </c>
      <c r="F28" s="68">
        <f t="shared" si="1"/>
        <v>10000000</v>
      </c>
      <c r="G28" s="68">
        <f t="shared" si="2"/>
        <v>10000000</v>
      </c>
      <c r="H28" s="254">
        <f>G28/(AVERAGE('Parámetros'!$F$5:$F$6)+$F$37)</f>
        <v>0.02886363107</v>
      </c>
      <c r="I28" s="146"/>
      <c r="J28" s="146"/>
      <c r="L28" s="73"/>
      <c r="R28" s="74"/>
    </row>
    <row r="29" ht="14.25" customHeight="1">
      <c r="A29" s="251">
        <f>IFERROR(__xludf.DUMMYFUNCTION("COUNTIF(SPLIT(B29,"" ""),""Developer"")"),0.0)</f>
        <v>0</v>
      </c>
      <c r="B29" s="255"/>
      <c r="C29" s="68"/>
      <c r="D29" s="208"/>
      <c r="E29" s="256"/>
      <c r="F29" s="68"/>
      <c r="G29" s="68"/>
      <c r="H29" s="254"/>
      <c r="I29" s="146"/>
      <c r="J29" s="146"/>
      <c r="L29" s="73"/>
    </row>
    <row r="30" ht="14.25" customHeight="1">
      <c r="A30" s="251">
        <f>IFERROR(__xludf.DUMMYFUNCTION("COUNTIF(SPLIT(B30,"" ""),""Developer"")"),0.0)</f>
        <v>0</v>
      </c>
      <c r="B30" s="255"/>
      <c r="C30" s="68"/>
      <c r="D30" s="208"/>
      <c r="E30" s="257"/>
      <c r="F30" s="68"/>
      <c r="G30" s="68"/>
      <c r="H30" s="254"/>
      <c r="I30" s="146"/>
      <c r="J30" s="146"/>
      <c r="L30" s="73"/>
    </row>
    <row r="31" ht="14.25" customHeight="1">
      <c r="A31" s="251">
        <f>IFERROR(__xludf.DUMMYFUNCTION("COUNTIF(SPLIT(B31,"" ""),""Developer"")"),0.0)</f>
        <v>0</v>
      </c>
      <c r="B31" s="255"/>
      <c r="C31" s="68"/>
      <c r="D31" s="208"/>
      <c r="E31" s="256"/>
      <c r="F31" s="68"/>
      <c r="G31" s="68"/>
      <c r="H31" s="254"/>
      <c r="I31" s="146"/>
      <c r="J31" s="146"/>
      <c r="L31" s="73"/>
    </row>
    <row r="32" ht="14.25" customHeight="1">
      <c r="A32" s="251">
        <f>IFERROR(__xludf.DUMMYFUNCTION("COUNTIF(SPLIT(B32,"" ""),""Developer"")"),0.0)</f>
        <v>0</v>
      </c>
      <c r="B32" s="255"/>
      <c r="C32" s="68"/>
      <c r="D32" s="208"/>
      <c r="E32" s="256"/>
      <c r="F32" s="68">
        <f t="shared" ref="F32:F36" si="3">+IFERROR(IF(D32="Nómina",C32*1.38352,C32),"")*E32*105%</f>
        <v>0</v>
      </c>
      <c r="G32" s="68">
        <f t="shared" ref="G32:G36" si="4">F32*C$10</f>
        <v>0</v>
      </c>
      <c r="H32" s="254">
        <f>G32/(AVERAGE('Parámetros'!$F$5:$F$6)+$F$37)</f>
        <v>0</v>
      </c>
      <c r="I32" s="146"/>
      <c r="J32" s="146"/>
      <c r="K32" s="146"/>
    </row>
    <row r="33" ht="14.25" customHeight="1">
      <c r="A33" s="251">
        <f>IFERROR(__xludf.DUMMYFUNCTION("COUNTIF(SPLIT(B33,"" ""),""Developer"")"),0.0)</f>
        <v>0</v>
      </c>
      <c r="B33" s="255"/>
      <c r="C33" s="68"/>
      <c r="D33" s="208"/>
      <c r="E33" s="258"/>
      <c r="F33" s="68">
        <f t="shared" si="3"/>
        <v>0</v>
      </c>
      <c r="G33" s="68">
        <f t="shared" si="4"/>
        <v>0</v>
      </c>
      <c r="H33" s="254">
        <f>G33/(AVERAGE('Parámetros'!$F$5:$F$6)+$F$37)</f>
        <v>0</v>
      </c>
      <c r="I33" s="146"/>
      <c r="J33" s="146"/>
      <c r="K33" s="146"/>
    </row>
    <row r="34" ht="14.25" customHeight="1">
      <c r="A34" s="251">
        <f>IFERROR(__xludf.DUMMYFUNCTION("COUNTIF(SPLIT(B34,"" ""),""Developer"")"),0.0)</f>
        <v>0</v>
      </c>
      <c r="B34" s="255"/>
      <c r="C34" s="68" t="str">
        <f>IFERROR(VLOOKUP(B34,'Parámetros'!A$1:B120,2, FALSE),"")</f>
        <v/>
      </c>
      <c r="D34" s="208"/>
      <c r="E34" s="258"/>
      <c r="F34" s="68">
        <f t="shared" si="3"/>
        <v>0</v>
      </c>
      <c r="G34" s="68">
        <f t="shared" si="4"/>
        <v>0</v>
      </c>
      <c r="H34" s="254">
        <f>G34/(AVERAGE('Parámetros'!$F$5:$F$6)+$F$37)</f>
        <v>0</v>
      </c>
      <c r="I34" s="146"/>
      <c r="J34" s="146"/>
      <c r="K34" s="146"/>
    </row>
    <row r="35" ht="14.25" customHeight="1">
      <c r="A35" s="251"/>
      <c r="B35" s="252"/>
      <c r="C35" s="68" t="str">
        <f>IFERROR(VLOOKUP(B35,'Parámetros'!A$1:B121,2, FALSE),"")</f>
        <v/>
      </c>
      <c r="D35" s="208"/>
      <c r="E35" s="258"/>
      <c r="F35" s="68">
        <f t="shared" si="3"/>
        <v>0</v>
      </c>
      <c r="G35" s="68">
        <f t="shared" si="4"/>
        <v>0</v>
      </c>
      <c r="H35" s="254">
        <f>G35/(AVERAGE('Parámetros'!$F$5:$F$6)+$F$37)</f>
        <v>0</v>
      </c>
      <c r="I35" s="146"/>
      <c r="J35" s="146"/>
      <c r="K35" s="146"/>
    </row>
    <row r="36" ht="14.25" customHeight="1">
      <c r="A36" s="251"/>
      <c r="B36" s="255"/>
      <c r="C36" s="68" t="str">
        <f>IFERROR(VLOOKUP(B36,'Parámetros'!A$1:B122,2, FALSE),"")</f>
        <v/>
      </c>
      <c r="D36" s="208"/>
      <c r="E36" s="258"/>
      <c r="F36" s="68">
        <f t="shared" si="3"/>
        <v>0</v>
      </c>
      <c r="G36" s="68">
        <f t="shared" si="4"/>
        <v>0</v>
      </c>
      <c r="H36" s="254">
        <f>G36/(AVERAGE('Parámetros'!$F$5:$F$6)+$F$37)</f>
        <v>0</v>
      </c>
      <c r="I36" s="146"/>
      <c r="J36" s="146"/>
      <c r="K36" s="146"/>
    </row>
    <row r="37" ht="14.25" customHeight="1">
      <c r="F37" s="259">
        <f t="shared" ref="F37:H37" si="5">SUM(F27:F36)</f>
        <v>12500000</v>
      </c>
      <c r="G37" s="259">
        <f t="shared" si="5"/>
        <v>12500000</v>
      </c>
      <c r="H37" s="260">
        <f t="shared" si="5"/>
        <v>0.03607953883</v>
      </c>
      <c r="M37" s="90"/>
      <c r="N37" s="91"/>
      <c r="O37" s="92"/>
      <c r="P37" s="93"/>
      <c r="Q37" s="94"/>
    </row>
    <row r="38" ht="14.25" customHeight="1">
      <c r="G38" s="55"/>
    </row>
    <row r="39" ht="14.25" customHeight="1">
      <c r="G39" s="55"/>
    </row>
    <row r="40" ht="14.25" customHeight="1">
      <c r="C40" s="261" t="s">
        <v>9</v>
      </c>
      <c r="D40" s="261" t="s">
        <v>45</v>
      </c>
      <c r="G40" s="55"/>
    </row>
    <row r="41" ht="14.25" customHeight="1">
      <c r="F41" s="97"/>
      <c r="G41" s="55"/>
    </row>
    <row r="42" ht="14.25" customHeight="1">
      <c r="B42" s="262" t="s">
        <v>31</v>
      </c>
      <c r="C42" s="261" t="s">
        <v>35</v>
      </c>
      <c r="D42" s="263" t="s">
        <v>48</v>
      </c>
      <c r="E42" s="261" t="s">
        <v>50</v>
      </c>
      <c r="F42" s="261" t="s">
        <v>159</v>
      </c>
      <c r="G42" s="55"/>
    </row>
    <row r="43" ht="14.25" customHeight="1">
      <c r="B43" s="264" t="str">
        <f t="shared" ref="B43:B52" si="6">B27</f>
        <v>Forward Deployed Pruduct experience</v>
      </c>
      <c r="C43" s="265">
        <f t="shared" ref="C43:C52" si="7">E27</f>
        <v>0.5</v>
      </c>
      <c r="D43" s="266">
        <f t="shared" ref="D43:D52" si="8">C43*180</f>
        <v>90</v>
      </c>
      <c r="E43" s="267">
        <f>IFERROR((IF($C$40="Gross Margin",F27/$F$37*$F$12,IF($C$40="Net Margin",F27/$F$37*$F$18,"Error")))/D43,"")/IF($D$40="USD",'Parámetros'!$L$3,1)/$C$10</f>
        <v>13.72758971</v>
      </c>
      <c r="F43" s="267">
        <f t="shared" ref="F43:F52" si="9">E43*D43</f>
        <v>1235.483074</v>
      </c>
      <c r="G43" s="55"/>
    </row>
    <row r="44" ht="14.25" customHeight="1">
      <c r="B44" s="264" t="str">
        <f t="shared" si="6"/>
        <v>Forward Deployed Enginnier</v>
      </c>
      <c r="C44" s="265">
        <f t="shared" si="7"/>
        <v>1</v>
      </c>
      <c r="D44" s="266">
        <f t="shared" si="8"/>
        <v>180</v>
      </c>
      <c r="E44" s="267">
        <f>IFERROR((IF($C$40="Gross Margin",F28/$F$37*$F$12,IF($C$40="Net Margin",F28/$F$37*$F$18,"Error")))/D44,"")/IF($D$40="USD",'Parámetros'!$L$3,1)/$C$10</f>
        <v>27.45517942</v>
      </c>
      <c r="F44" s="267">
        <f t="shared" si="9"/>
        <v>4941.932296</v>
      </c>
      <c r="G44" s="55"/>
    </row>
    <row r="45" ht="14.25" customHeight="1">
      <c r="B45" s="264" t="str">
        <f t="shared" si="6"/>
        <v/>
      </c>
      <c r="C45" s="265" t="str">
        <f t="shared" si="7"/>
        <v/>
      </c>
      <c r="D45" s="266">
        <f t="shared" si="8"/>
        <v>0</v>
      </c>
      <c r="E45" s="267">
        <f>IFERROR((IF($C$40="Gross Margin",F29/$F$37*$F$12,IF($C$40="Net Margin",F29/$F$37*$F$18,"Error")))/D45,"")/IF($D$40="USD",'Parámetros'!$L$3,1)/$C$10</f>
        <v>0</v>
      </c>
      <c r="F45" s="267">
        <f t="shared" si="9"/>
        <v>0</v>
      </c>
      <c r="G45" s="23"/>
    </row>
    <row r="46" ht="14.25" customHeight="1">
      <c r="B46" s="264" t="str">
        <f t="shared" si="6"/>
        <v/>
      </c>
      <c r="C46" s="265" t="str">
        <f t="shared" si="7"/>
        <v/>
      </c>
      <c r="D46" s="266">
        <f t="shared" si="8"/>
        <v>0</v>
      </c>
      <c r="E46" s="267">
        <f>IFERROR((IF($C$40="Gross Margin",F30/$F$37*$F$12,IF($C$40="Net Margin",F30/$F$37*$F$18,"Error")))/D46,"")/IF($D$40="USD",'Parámetros'!$L$3,1)/$C$10</f>
        <v>0</v>
      </c>
      <c r="F46" s="267">
        <f t="shared" si="9"/>
        <v>0</v>
      </c>
      <c r="G46" s="23"/>
    </row>
    <row r="47" ht="14.25" customHeight="1">
      <c r="B47" s="264" t="str">
        <f t="shared" si="6"/>
        <v/>
      </c>
      <c r="C47" s="265" t="str">
        <f t="shared" si="7"/>
        <v/>
      </c>
      <c r="D47" s="266">
        <f t="shared" si="8"/>
        <v>0</v>
      </c>
      <c r="E47" s="267">
        <f>IFERROR((IF($C$40="Gross Margin",F31/$F$37*$F$12,IF($C$40="Net Margin",F31/$F$37*$F$18,"Error")))/D47,"")/IF($D$40="USD",'Parámetros'!$L$3,1)/$C$10</f>
        <v>0</v>
      </c>
      <c r="F47" s="267">
        <f t="shared" si="9"/>
        <v>0</v>
      </c>
      <c r="G47" s="55"/>
    </row>
    <row r="48" ht="14.25" customHeight="1">
      <c r="B48" s="264" t="str">
        <f t="shared" si="6"/>
        <v/>
      </c>
      <c r="C48" s="265" t="str">
        <f t="shared" si="7"/>
        <v/>
      </c>
      <c r="D48" s="266">
        <f t="shared" si="8"/>
        <v>0</v>
      </c>
      <c r="E48" s="267">
        <f>IFERROR((IF($C$40="Gross Margin",F32/$F$37*$F$12,IF($C$40="Net Margin",F32/$F$37*$F$18,"Error")))/D48,"")/IF($D$40="USD",'Parámetros'!$L$3,1)</f>
        <v>0</v>
      </c>
      <c r="F48" s="267">
        <f t="shared" si="9"/>
        <v>0</v>
      </c>
      <c r="G48" s="55"/>
    </row>
    <row r="49" ht="14.25" customHeight="1">
      <c r="B49" s="264" t="str">
        <f t="shared" si="6"/>
        <v/>
      </c>
      <c r="C49" s="265" t="str">
        <f t="shared" si="7"/>
        <v/>
      </c>
      <c r="D49" s="266">
        <f t="shared" si="8"/>
        <v>0</v>
      </c>
      <c r="E49" s="267">
        <f>IFERROR((IF($C$40="Gross Margin",F33/$F$37*$F$12,IF($C$40="Net Margin",F33/$F$37*$F$18,"Error")))/D49,"")/IF($D$40="USD",'Parámetros'!$L$3,1)</f>
        <v>0</v>
      </c>
      <c r="F49" s="267">
        <f t="shared" si="9"/>
        <v>0</v>
      </c>
      <c r="G49" s="55"/>
    </row>
    <row r="50" ht="14.25" customHeight="1">
      <c r="B50" s="264" t="str">
        <f t="shared" si="6"/>
        <v/>
      </c>
      <c r="C50" s="265" t="str">
        <f t="shared" si="7"/>
        <v/>
      </c>
      <c r="D50" s="266">
        <f t="shared" si="8"/>
        <v>0</v>
      </c>
      <c r="E50" s="267">
        <f>IFERROR((IF($C$40="Gross Margin",F34/$F$37*$F$12,IF($C$40="Net Margin",F34/$F$37*$F$18,"Error")))/D50,"")/IF($D$40="USD",'Parámetros'!$L$3,1)</f>
        <v>0</v>
      </c>
      <c r="F50" s="267">
        <f t="shared" si="9"/>
        <v>0</v>
      </c>
      <c r="G50" s="55"/>
    </row>
    <row r="51" ht="14.25" customHeight="1">
      <c r="B51" s="264" t="str">
        <f t="shared" si="6"/>
        <v/>
      </c>
      <c r="C51" s="265" t="str">
        <f t="shared" si="7"/>
        <v/>
      </c>
      <c r="D51" s="266">
        <f t="shared" si="8"/>
        <v>0</v>
      </c>
      <c r="E51" s="267">
        <f>IFERROR((IF($C$40="Gross Margin",F35/$F$37*$F$12,IF($C$40="Net Margin",F35/$F$37*$F$18,"Error")))/D51,"")/IF($D$40="USD",'Parámetros'!$L$3,1)</f>
        <v>0</v>
      </c>
      <c r="F51" s="267">
        <f t="shared" si="9"/>
        <v>0</v>
      </c>
      <c r="G51" s="55"/>
    </row>
    <row r="52" ht="14.25" customHeight="1">
      <c r="B52" s="264" t="str">
        <f t="shared" si="6"/>
        <v/>
      </c>
      <c r="C52" s="265" t="str">
        <f t="shared" si="7"/>
        <v/>
      </c>
      <c r="D52" s="268">
        <f t="shared" si="8"/>
        <v>0</v>
      </c>
      <c r="E52" s="267">
        <f>IFERROR((IF($C$40="Gross Margin",F36/$F$37*$F$12,IF($C$40="Net Margin",F36/$F$37*$F$18,"Error")))/D52,"")/IF($D$40="USD",'Parámetros'!$L$3,1)</f>
        <v>0</v>
      </c>
      <c r="F52" s="267">
        <f t="shared" si="9"/>
        <v>0</v>
      </c>
      <c r="G52" s="55"/>
    </row>
    <row r="53" ht="14.25" customHeight="1">
      <c r="E53" s="269" t="s">
        <v>52</v>
      </c>
      <c r="F53" s="270">
        <f>SUM(F43:F52)</f>
        <v>6177.415369</v>
      </c>
      <c r="G53" s="55"/>
    </row>
    <row r="54" ht="14.25" customHeight="1">
      <c r="E54" s="269" t="s">
        <v>167</v>
      </c>
      <c r="F54" s="270">
        <f>F53-G13</f>
        <v>0</v>
      </c>
      <c r="G54" s="55"/>
    </row>
    <row r="55" ht="14.25" customHeight="1">
      <c r="D55" s="271"/>
      <c r="E55" s="271"/>
      <c r="G55" s="55"/>
    </row>
    <row r="56" ht="14.25" customHeight="1">
      <c r="B56" s="272" t="s">
        <v>11</v>
      </c>
      <c r="C56" s="272" t="s">
        <v>52</v>
      </c>
      <c r="D56" s="273" t="s">
        <v>116</v>
      </c>
      <c r="E56" s="274"/>
      <c r="G56" s="55"/>
    </row>
    <row r="57" ht="14.25" customHeight="1" outlineLevel="1">
      <c r="A57" s="33"/>
      <c r="B57" s="275" t="s">
        <v>14</v>
      </c>
      <c r="C57" s="276">
        <f>G37</f>
        <v>12500000</v>
      </c>
      <c r="D57" s="276">
        <f t="shared" ref="D57:D62" si="10">C57/C$10</f>
        <v>12500000</v>
      </c>
      <c r="E57" s="277"/>
      <c r="F57" s="33"/>
      <c r="G57" s="37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</row>
    <row r="58" ht="14.25" customHeight="1" outlineLevel="1">
      <c r="A58" s="33"/>
      <c r="B58" s="278" t="s">
        <v>17</v>
      </c>
      <c r="C58" s="279">
        <f>C60+C61+C59</f>
        <v>5083279.149</v>
      </c>
      <c r="D58" s="279">
        <f t="shared" si="10"/>
        <v>5083279.149</v>
      </c>
      <c r="E58" s="277"/>
      <c r="F58" s="33"/>
      <c r="G58" s="37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</row>
    <row r="59" ht="14.25" customHeight="1" outlineLevel="1">
      <c r="B59" s="280" t="s">
        <v>19</v>
      </c>
      <c r="C59" s="70"/>
      <c r="D59" s="70">
        <f t="shared" si="10"/>
        <v>0</v>
      </c>
      <c r="E59" s="271"/>
      <c r="G59" s="55"/>
    </row>
    <row r="60" ht="14.25" customHeight="1" outlineLevel="1">
      <c r="B60" s="280" t="s">
        <v>20</v>
      </c>
      <c r="C60" s="281">
        <f>H37*AVERAGE('Parámetros'!G8:G9)*IF(C2="Network",15%,100%)*IF(C2="Enterprise",40%,100%)</f>
        <v>5083279.149</v>
      </c>
      <c r="D60" s="281">
        <f t="shared" si="10"/>
        <v>5083279.149</v>
      </c>
      <c r="E60" s="282"/>
      <c r="G60" s="55"/>
    </row>
    <row r="61" ht="14.25" customHeight="1" outlineLevel="1">
      <c r="B61" s="280" t="s">
        <v>21</v>
      </c>
      <c r="C61" s="70"/>
      <c r="D61" s="70">
        <f t="shared" si="10"/>
        <v>0</v>
      </c>
      <c r="E61" s="282"/>
      <c r="G61" s="55"/>
    </row>
    <row r="62" ht="14.25" customHeight="1">
      <c r="B62" s="283" t="s">
        <v>23</v>
      </c>
      <c r="C62" s="284">
        <f>C57+C58</f>
        <v>17583279.15</v>
      </c>
      <c r="D62" s="284">
        <f t="shared" si="10"/>
        <v>17583279.15</v>
      </c>
      <c r="E62" s="277"/>
      <c r="G62" s="55"/>
    </row>
    <row r="63" ht="14.25" customHeight="1">
      <c r="B63" s="285" t="s">
        <v>168</v>
      </c>
      <c r="C63" s="286">
        <f t="shared" ref="C63:D63" si="11">C57+C59+C61</f>
        <v>12500000</v>
      </c>
      <c r="D63" s="286">
        <f t="shared" si="11"/>
        <v>12500000</v>
      </c>
      <c r="E63" s="287"/>
      <c r="G63" s="55"/>
    </row>
    <row r="64">
      <c r="D64" s="271"/>
      <c r="E64" s="271"/>
      <c r="G64" s="55"/>
    </row>
    <row r="65" ht="14.25" customHeight="1">
      <c r="G65" s="55"/>
    </row>
    <row r="66" ht="14.25" customHeight="1">
      <c r="G66" s="55"/>
    </row>
    <row r="67" ht="14.25" customHeight="1">
      <c r="G67" s="55"/>
    </row>
    <row r="68" ht="14.25" customHeight="1">
      <c r="G68" s="55"/>
    </row>
    <row r="69" ht="14.25" customHeight="1">
      <c r="G69" s="55"/>
    </row>
    <row r="70" ht="14.25" customHeight="1">
      <c r="G70" s="55"/>
    </row>
    <row r="71" ht="14.25" customHeight="1">
      <c r="G71" s="55"/>
    </row>
    <row r="72" ht="14.25" customHeight="1">
      <c r="G72" s="55"/>
    </row>
    <row r="73" ht="14.25" customHeight="1">
      <c r="G73" s="55"/>
    </row>
    <row r="74" ht="14.25" customHeight="1">
      <c r="G74" s="55"/>
    </row>
    <row r="75" ht="14.25" customHeight="1">
      <c r="G75" s="55"/>
    </row>
    <row r="76" ht="14.25" customHeight="1">
      <c r="G76" s="55"/>
    </row>
    <row r="77" ht="14.25" customHeight="1">
      <c r="G77" s="55"/>
    </row>
    <row r="78" ht="14.25" customHeight="1">
      <c r="G78" s="55"/>
    </row>
    <row r="79" ht="14.25" customHeight="1">
      <c r="G79" s="55"/>
    </row>
    <row r="80" ht="14.25" customHeight="1">
      <c r="G80" s="55"/>
    </row>
    <row r="81" ht="14.25" customHeight="1">
      <c r="G81" s="55"/>
    </row>
    <row r="82" ht="14.25" customHeight="1">
      <c r="G82" s="55"/>
    </row>
    <row r="83" ht="14.25" customHeight="1">
      <c r="G83" s="55"/>
    </row>
    <row r="84" ht="14.25" customHeight="1">
      <c r="G84" s="55"/>
    </row>
    <row r="85" ht="14.25" customHeight="1">
      <c r="G85" s="55"/>
    </row>
    <row r="86" ht="14.25" customHeight="1">
      <c r="G86" s="55"/>
    </row>
    <row r="87" ht="14.25" customHeight="1">
      <c r="G87" s="55"/>
    </row>
    <row r="88" ht="14.25" customHeight="1">
      <c r="G88" s="55"/>
    </row>
    <row r="89" ht="14.25" customHeight="1">
      <c r="G89" s="55"/>
    </row>
    <row r="90" ht="14.25" customHeight="1">
      <c r="G90" s="55"/>
    </row>
    <row r="91" ht="14.25" customHeight="1">
      <c r="G91" s="55"/>
    </row>
    <row r="92" ht="14.25" customHeight="1">
      <c r="G92" s="55"/>
    </row>
    <row r="93" ht="14.25" customHeight="1">
      <c r="G93" s="55"/>
    </row>
    <row r="94" ht="14.25" customHeight="1">
      <c r="G94" s="55"/>
    </row>
    <row r="95" ht="14.25" customHeight="1">
      <c r="G95" s="55"/>
    </row>
    <row r="96" ht="14.25" customHeight="1">
      <c r="G96" s="55"/>
    </row>
    <row r="97" ht="14.25" customHeight="1">
      <c r="G97" s="55"/>
    </row>
    <row r="98" ht="14.25" customHeight="1">
      <c r="G98" s="55"/>
    </row>
    <row r="99" ht="14.25" customHeight="1">
      <c r="G99" s="55"/>
    </row>
    <row r="100" ht="14.25" customHeight="1">
      <c r="G100" s="55"/>
    </row>
    <row r="101" ht="14.25" customHeight="1">
      <c r="G101" s="55"/>
    </row>
    <row r="102" ht="14.25" customHeight="1">
      <c r="G102" s="55"/>
    </row>
    <row r="103" ht="14.25" customHeight="1">
      <c r="G103" s="55"/>
    </row>
    <row r="104" ht="14.25" customHeight="1">
      <c r="G104" s="55"/>
    </row>
    <row r="105" ht="14.25" customHeight="1">
      <c r="G105" s="55"/>
    </row>
    <row r="106" ht="14.25" customHeight="1">
      <c r="G106" s="55"/>
    </row>
    <row r="107" ht="14.25" customHeight="1">
      <c r="G107" s="55"/>
    </row>
    <row r="108" ht="14.25" customHeight="1">
      <c r="G108" s="55"/>
    </row>
    <row r="109" ht="14.25" customHeight="1">
      <c r="G109" s="55"/>
    </row>
    <row r="110" ht="14.25" customHeight="1">
      <c r="G110" s="55"/>
    </row>
    <row r="111" ht="14.25" customHeight="1">
      <c r="G111" s="55"/>
    </row>
    <row r="112" ht="14.25" customHeight="1">
      <c r="G112" s="55"/>
    </row>
    <row r="113" ht="14.25" customHeight="1">
      <c r="G113" s="55"/>
    </row>
    <row r="114" ht="14.25" customHeight="1">
      <c r="G114" s="55"/>
    </row>
    <row r="115" ht="14.25" customHeight="1">
      <c r="G115" s="55"/>
    </row>
    <row r="116" ht="14.25" customHeight="1">
      <c r="G116" s="55"/>
    </row>
    <row r="117" ht="14.25" customHeight="1">
      <c r="G117" s="55"/>
    </row>
    <row r="118" ht="14.25" customHeight="1">
      <c r="G118" s="55"/>
    </row>
    <row r="119" ht="14.25" customHeight="1">
      <c r="G119" s="55"/>
    </row>
    <row r="120" ht="14.25" customHeight="1">
      <c r="G120" s="55"/>
    </row>
    <row r="121" ht="14.25" customHeight="1">
      <c r="G121" s="55"/>
    </row>
    <row r="122" ht="14.25" customHeight="1">
      <c r="G122" s="55"/>
    </row>
    <row r="123" ht="14.25" customHeight="1">
      <c r="G123" s="55"/>
    </row>
    <row r="124" ht="14.25" customHeight="1">
      <c r="G124" s="55"/>
    </row>
    <row r="125" ht="14.25" customHeight="1">
      <c r="G125" s="55"/>
    </row>
    <row r="126" ht="14.25" customHeight="1">
      <c r="G126" s="55"/>
    </row>
    <row r="127" ht="14.25" customHeight="1">
      <c r="G127" s="55"/>
    </row>
    <row r="128" ht="14.25" customHeight="1">
      <c r="G128" s="55"/>
    </row>
    <row r="129" ht="14.25" customHeight="1">
      <c r="G129" s="55"/>
    </row>
    <row r="130" ht="14.25" customHeight="1">
      <c r="G130" s="55"/>
    </row>
    <row r="131" ht="14.25" customHeight="1">
      <c r="G131" s="55"/>
    </row>
    <row r="132" ht="14.25" customHeight="1">
      <c r="G132" s="55"/>
    </row>
    <row r="133" ht="14.25" customHeight="1">
      <c r="G133" s="55"/>
    </row>
    <row r="134" ht="14.25" customHeight="1">
      <c r="G134" s="55"/>
    </row>
    <row r="135" ht="14.25" customHeight="1">
      <c r="G135" s="55"/>
    </row>
    <row r="136" ht="14.25" customHeight="1">
      <c r="G136" s="55"/>
    </row>
    <row r="137" ht="14.25" customHeight="1">
      <c r="G137" s="55"/>
    </row>
    <row r="138" ht="14.25" customHeight="1">
      <c r="G138" s="55"/>
    </row>
    <row r="139" ht="14.25" customHeight="1">
      <c r="G139" s="55"/>
    </row>
    <row r="140" ht="14.25" customHeight="1">
      <c r="G140" s="55"/>
    </row>
    <row r="141" ht="14.25" customHeight="1">
      <c r="G141" s="55"/>
    </row>
    <row r="142" ht="14.25" customHeight="1">
      <c r="G142" s="55"/>
    </row>
    <row r="143" ht="14.25" customHeight="1">
      <c r="G143" s="55"/>
    </row>
    <row r="144" ht="14.25" customHeight="1">
      <c r="G144" s="55"/>
    </row>
    <row r="145" ht="14.25" customHeight="1">
      <c r="G145" s="55"/>
    </row>
    <row r="146" ht="14.25" customHeight="1">
      <c r="G146" s="55"/>
    </row>
    <row r="147" ht="14.25" customHeight="1">
      <c r="G147" s="55"/>
    </row>
    <row r="148" ht="14.25" customHeight="1">
      <c r="G148" s="55"/>
    </row>
    <row r="149" ht="14.25" customHeight="1">
      <c r="G149" s="55"/>
    </row>
    <row r="150" ht="14.25" customHeight="1">
      <c r="G150" s="55"/>
    </row>
    <row r="151" ht="14.25" customHeight="1">
      <c r="G151" s="55"/>
    </row>
    <row r="152" ht="14.25" customHeight="1">
      <c r="G152" s="55"/>
    </row>
    <row r="153" ht="14.25" customHeight="1">
      <c r="G153" s="55"/>
    </row>
    <row r="154" ht="14.25" customHeight="1">
      <c r="G154" s="55"/>
    </row>
    <row r="155" ht="14.25" customHeight="1">
      <c r="G155" s="55"/>
    </row>
    <row r="156" ht="14.25" customHeight="1">
      <c r="G156" s="55"/>
    </row>
    <row r="157" ht="14.25" customHeight="1">
      <c r="G157" s="55"/>
    </row>
    <row r="158" ht="14.25" customHeight="1">
      <c r="G158" s="55"/>
    </row>
    <row r="159" ht="14.25" customHeight="1">
      <c r="G159" s="55"/>
    </row>
    <row r="160" ht="14.25" customHeight="1">
      <c r="G160" s="55"/>
    </row>
    <row r="161" ht="14.25" customHeight="1">
      <c r="G161" s="55"/>
    </row>
    <row r="162" ht="14.25" customHeight="1">
      <c r="G162" s="55"/>
    </row>
    <row r="163" ht="14.25" customHeight="1">
      <c r="G163" s="55"/>
    </row>
    <row r="164" ht="14.25" customHeight="1">
      <c r="G164" s="55"/>
    </row>
    <row r="165" ht="14.25" customHeight="1">
      <c r="G165" s="55"/>
    </row>
    <row r="166" ht="14.25" customHeight="1">
      <c r="G166" s="55"/>
    </row>
    <row r="167" ht="14.25" customHeight="1">
      <c r="G167" s="55"/>
    </row>
    <row r="168" ht="14.25" customHeight="1">
      <c r="G168" s="55"/>
    </row>
    <row r="169" ht="14.25" customHeight="1">
      <c r="G169" s="55"/>
    </row>
    <row r="170" ht="14.25" customHeight="1">
      <c r="G170" s="55"/>
    </row>
    <row r="171" ht="14.25" customHeight="1">
      <c r="G171" s="55"/>
    </row>
    <row r="172" ht="14.25" customHeight="1">
      <c r="G172" s="55"/>
    </row>
    <row r="173" ht="14.25" customHeight="1">
      <c r="G173" s="55"/>
    </row>
    <row r="174" ht="14.25" customHeight="1">
      <c r="G174" s="55"/>
    </row>
    <row r="175" ht="14.25" customHeight="1">
      <c r="G175" s="55"/>
    </row>
    <row r="176" ht="14.25" customHeight="1">
      <c r="G176" s="55"/>
    </row>
    <row r="177" ht="14.25" customHeight="1">
      <c r="G177" s="55"/>
    </row>
    <row r="178" ht="14.25" customHeight="1">
      <c r="G178" s="55"/>
    </row>
    <row r="179" ht="14.25" customHeight="1">
      <c r="G179" s="55"/>
    </row>
    <row r="180" ht="14.25" customHeight="1">
      <c r="G180" s="55"/>
    </row>
    <row r="181" ht="14.25" customHeight="1">
      <c r="G181" s="55"/>
    </row>
    <row r="182" ht="14.25" customHeight="1">
      <c r="G182" s="55"/>
    </row>
    <row r="183" ht="14.25" customHeight="1">
      <c r="G183" s="55"/>
    </row>
    <row r="184" ht="14.25" customHeight="1">
      <c r="G184" s="55"/>
    </row>
    <row r="185" ht="14.25" customHeight="1">
      <c r="G185" s="55"/>
    </row>
    <row r="186" ht="14.25" customHeight="1">
      <c r="G186" s="55"/>
    </row>
    <row r="187" ht="14.25" customHeight="1">
      <c r="G187" s="55"/>
    </row>
    <row r="188" ht="14.25" customHeight="1">
      <c r="G188" s="55"/>
    </row>
    <row r="189" ht="14.25" customHeight="1">
      <c r="G189" s="55"/>
    </row>
    <row r="190" ht="14.25" customHeight="1">
      <c r="G190" s="55"/>
    </row>
    <row r="191" ht="14.25" customHeight="1">
      <c r="G191" s="55"/>
    </row>
    <row r="192" ht="14.25" customHeight="1">
      <c r="G192" s="55"/>
    </row>
    <row r="193" ht="14.25" customHeight="1">
      <c r="G193" s="55"/>
    </row>
    <row r="194" ht="14.25" customHeight="1">
      <c r="G194" s="55"/>
    </row>
    <row r="195" ht="14.25" customHeight="1">
      <c r="G195" s="55"/>
    </row>
    <row r="196" ht="14.25" customHeight="1">
      <c r="G196" s="55"/>
    </row>
    <row r="197" ht="14.25" customHeight="1">
      <c r="G197" s="55"/>
    </row>
    <row r="198" ht="14.25" customHeight="1">
      <c r="G198" s="55"/>
    </row>
    <row r="199" ht="14.25" customHeight="1">
      <c r="G199" s="55"/>
    </row>
    <row r="200" ht="14.25" customHeight="1">
      <c r="G200" s="55"/>
    </row>
    <row r="201" ht="14.25" customHeight="1">
      <c r="G201" s="55"/>
    </row>
    <row r="202" ht="14.25" customHeight="1">
      <c r="G202" s="55"/>
    </row>
    <row r="203" ht="14.25" customHeight="1">
      <c r="G203" s="55"/>
    </row>
    <row r="204" ht="14.25" customHeight="1">
      <c r="G204" s="55"/>
    </row>
    <row r="205" ht="14.25" customHeight="1">
      <c r="G205" s="55"/>
    </row>
    <row r="206" ht="14.25" customHeight="1">
      <c r="G206" s="55"/>
    </row>
    <row r="207" ht="14.25" customHeight="1">
      <c r="G207" s="55"/>
    </row>
    <row r="208" ht="14.25" customHeight="1">
      <c r="G208" s="55"/>
    </row>
    <row r="209" ht="14.25" customHeight="1">
      <c r="G209" s="55"/>
    </row>
    <row r="210" ht="14.25" customHeight="1">
      <c r="G210" s="55"/>
    </row>
    <row r="211" ht="14.25" customHeight="1">
      <c r="G211" s="55"/>
    </row>
    <row r="212" ht="14.25" customHeight="1">
      <c r="G212" s="55"/>
    </row>
    <row r="213" ht="14.25" customHeight="1">
      <c r="G213" s="55"/>
    </row>
    <row r="214" ht="14.25" customHeight="1">
      <c r="G214" s="55"/>
    </row>
    <row r="215" ht="14.25" customHeight="1">
      <c r="G215" s="55"/>
    </row>
    <row r="216" ht="14.25" customHeight="1">
      <c r="G216" s="55"/>
    </row>
    <row r="217" ht="14.25" customHeight="1">
      <c r="G217" s="55"/>
    </row>
    <row r="218" ht="14.25" customHeight="1">
      <c r="G218" s="55"/>
    </row>
    <row r="219" ht="14.25" customHeight="1">
      <c r="G219" s="55"/>
    </row>
    <row r="220" ht="14.25" customHeight="1">
      <c r="G220" s="55"/>
    </row>
    <row r="221" ht="14.25" customHeight="1">
      <c r="G221" s="55"/>
    </row>
    <row r="222" ht="14.25" customHeight="1">
      <c r="G222" s="55"/>
    </row>
    <row r="223" ht="14.25" customHeight="1">
      <c r="G223" s="55"/>
    </row>
    <row r="224" ht="14.25" customHeight="1">
      <c r="G224" s="55"/>
    </row>
    <row r="225" ht="14.25" customHeight="1">
      <c r="G225" s="55"/>
    </row>
    <row r="226" ht="14.25" customHeight="1">
      <c r="G226" s="55"/>
    </row>
    <row r="227" ht="14.25" customHeight="1">
      <c r="G227" s="55"/>
    </row>
    <row r="228" ht="14.25" customHeight="1">
      <c r="G228" s="55"/>
    </row>
    <row r="229" ht="14.25" customHeight="1">
      <c r="G229" s="55"/>
    </row>
    <row r="230" ht="14.25" customHeight="1">
      <c r="G230" s="55"/>
    </row>
    <row r="231" ht="14.25" customHeight="1">
      <c r="G231" s="55"/>
    </row>
    <row r="232" ht="14.25" customHeight="1">
      <c r="G232" s="55"/>
    </row>
    <row r="233" ht="14.25" customHeight="1">
      <c r="G233" s="55"/>
    </row>
    <row r="234" ht="14.25" customHeight="1">
      <c r="G234" s="55"/>
    </row>
    <row r="235" ht="14.25" customHeight="1">
      <c r="G235" s="55"/>
    </row>
    <row r="236" ht="14.25" customHeight="1">
      <c r="G236" s="55"/>
    </row>
    <row r="237" ht="14.25" customHeight="1">
      <c r="G237" s="55"/>
    </row>
    <row r="238" ht="14.25" customHeight="1">
      <c r="G238" s="55"/>
    </row>
    <row r="239" ht="14.25" customHeight="1">
      <c r="G239" s="55"/>
    </row>
    <row r="240" ht="14.25" customHeight="1">
      <c r="G240" s="55"/>
    </row>
    <row r="241" ht="14.25" customHeight="1">
      <c r="G241" s="55"/>
    </row>
    <row r="242" ht="14.25" customHeight="1">
      <c r="G242" s="55"/>
    </row>
    <row r="243" ht="14.25" customHeight="1">
      <c r="G243" s="55"/>
    </row>
    <row r="244" ht="14.25" customHeight="1">
      <c r="G244" s="55"/>
    </row>
    <row r="245" ht="14.25" customHeight="1">
      <c r="G245" s="55"/>
    </row>
    <row r="246" ht="14.25" customHeight="1">
      <c r="G246" s="55"/>
    </row>
    <row r="247" ht="14.25" customHeight="1">
      <c r="G247" s="55"/>
    </row>
    <row r="248" ht="14.25" customHeight="1">
      <c r="G248" s="55"/>
    </row>
    <row r="249" ht="14.25" customHeight="1">
      <c r="G249" s="55"/>
    </row>
    <row r="250" ht="14.25" customHeight="1">
      <c r="G250" s="55"/>
    </row>
    <row r="251" ht="14.25" customHeight="1">
      <c r="G251" s="55"/>
    </row>
    <row r="252" ht="14.25" customHeight="1">
      <c r="G252" s="55"/>
    </row>
    <row r="253" ht="14.25" customHeight="1">
      <c r="G253" s="55"/>
    </row>
    <row r="254" ht="14.25" customHeight="1">
      <c r="G254" s="55"/>
    </row>
    <row r="255" ht="14.25" customHeight="1">
      <c r="G255" s="55"/>
    </row>
    <row r="256" ht="14.25" customHeight="1">
      <c r="G256" s="55"/>
    </row>
    <row r="257" ht="14.25" customHeight="1">
      <c r="G257" s="55"/>
    </row>
    <row r="258" ht="14.25" customHeight="1">
      <c r="G258" s="55"/>
    </row>
    <row r="259" ht="14.25" customHeight="1">
      <c r="G259" s="55"/>
    </row>
    <row r="260" ht="14.25" customHeight="1">
      <c r="G260" s="55"/>
    </row>
    <row r="261" ht="14.25" customHeight="1">
      <c r="G261" s="55"/>
    </row>
    <row r="262" ht="14.25" customHeight="1">
      <c r="G262" s="55"/>
    </row>
    <row r="263" ht="14.25" customHeight="1">
      <c r="G263" s="55"/>
    </row>
    <row r="264" ht="14.25" customHeight="1">
      <c r="G264" s="55"/>
    </row>
    <row r="265" ht="14.25" customHeight="1">
      <c r="G265" s="55"/>
    </row>
    <row r="266" ht="14.25" customHeight="1">
      <c r="G266" s="55"/>
    </row>
    <row r="267" ht="14.25" customHeight="1">
      <c r="G267" s="55"/>
    </row>
    <row r="268" ht="14.25" customHeight="1">
      <c r="G268" s="55"/>
    </row>
    <row r="269" ht="14.25" customHeight="1">
      <c r="G269" s="55"/>
    </row>
    <row r="270" ht="14.25" customHeight="1">
      <c r="G270" s="55"/>
    </row>
    <row r="271" ht="14.25" customHeight="1">
      <c r="G271" s="55"/>
    </row>
    <row r="272" ht="14.25" customHeight="1">
      <c r="G272" s="55"/>
    </row>
    <row r="273" ht="14.25" customHeight="1">
      <c r="G273" s="55"/>
    </row>
    <row r="274" ht="14.25" customHeight="1">
      <c r="G274" s="55"/>
    </row>
    <row r="275" ht="14.25" customHeight="1">
      <c r="G275" s="55"/>
    </row>
    <row r="276" ht="14.25" customHeight="1">
      <c r="G276" s="55"/>
    </row>
    <row r="277" ht="14.25" customHeight="1">
      <c r="G277" s="55"/>
    </row>
    <row r="278" ht="14.25" customHeight="1">
      <c r="G278" s="55"/>
    </row>
    <row r="279" ht="14.25" customHeight="1">
      <c r="G279" s="55"/>
    </row>
    <row r="280" ht="14.25" customHeight="1">
      <c r="G280" s="55"/>
    </row>
    <row r="281" ht="14.25" customHeight="1">
      <c r="G281" s="55"/>
    </row>
    <row r="282" ht="14.25" customHeight="1">
      <c r="G282" s="55"/>
    </row>
    <row r="283" ht="14.25" customHeight="1">
      <c r="G283" s="55"/>
    </row>
    <row r="284" ht="14.25" customHeight="1">
      <c r="G284" s="55"/>
    </row>
    <row r="285" ht="14.25" customHeight="1">
      <c r="G285" s="55"/>
    </row>
    <row r="286" ht="14.25" customHeight="1">
      <c r="G286" s="55"/>
    </row>
    <row r="287" ht="14.25" customHeight="1">
      <c r="G287" s="55"/>
    </row>
    <row r="288" ht="14.25" customHeight="1">
      <c r="G288" s="55"/>
    </row>
    <row r="289" ht="14.25" customHeight="1">
      <c r="G289" s="55"/>
    </row>
    <row r="290" ht="14.25" customHeight="1">
      <c r="G290" s="55"/>
    </row>
    <row r="291" ht="14.25" customHeight="1">
      <c r="G291" s="55"/>
    </row>
    <row r="292" ht="14.25" customHeight="1">
      <c r="G292" s="55"/>
    </row>
    <row r="293" ht="14.25" customHeight="1">
      <c r="G293" s="55"/>
    </row>
    <row r="294" ht="14.25" customHeight="1">
      <c r="G294" s="55"/>
    </row>
    <row r="295" ht="14.25" customHeight="1">
      <c r="G295" s="55"/>
    </row>
    <row r="296" ht="14.25" customHeight="1">
      <c r="G296" s="55"/>
    </row>
    <row r="297" ht="14.25" customHeight="1">
      <c r="G297" s="55"/>
    </row>
    <row r="298" ht="14.25" customHeight="1">
      <c r="G298" s="55"/>
    </row>
    <row r="299" ht="14.25" customHeight="1">
      <c r="G299" s="55"/>
    </row>
    <row r="300" ht="14.25" customHeight="1">
      <c r="G300" s="55"/>
    </row>
    <row r="301" ht="14.25" customHeight="1">
      <c r="G301" s="55"/>
    </row>
    <row r="302" ht="14.25" customHeight="1">
      <c r="G302" s="55"/>
    </row>
    <row r="303" ht="14.25" customHeight="1">
      <c r="G303" s="55"/>
    </row>
    <row r="304" ht="14.25" customHeight="1">
      <c r="G304" s="55"/>
    </row>
    <row r="305" ht="14.25" customHeight="1">
      <c r="G305" s="55"/>
    </row>
    <row r="306" ht="14.25" customHeight="1">
      <c r="G306" s="55"/>
    </row>
    <row r="307" ht="14.25" customHeight="1">
      <c r="G307" s="55"/>
    </row>
    <row r="308" ht="14.25" customHeight="1">
      <c r="G308" s="55"/>
    </row>
    <row r="309" ht="14.25" customHeight="1">
      <c r="G309" s="55"/>
    </row>
    <row r="310" ht="14.25" customHeight="1">
      <c r="G310" s="55"/>
    </row>
    <row r="311" ht="14.25" customHeight="1">
      <c r="G311" s="55"/>
    </row>
    <row r="312" ht="14.25" customHeight="1">
      <c r="G312" s="55"/>
    </row>
    <row r="313" ht="14.25" customHeight="1">
      <c r="G313" s="55"/>
    </row>
    <row r="314" ht="14.25" customHeight="1">
      <c r="G314" s="55"/>
    </row>
    <row r="315" ht="14.25" customHeight="1">
      <c r="G315" s="55"/>
    </row>
    <row r="316" ht="14.25" customHeight="1">
      <c r="G316" s="55"/>
    </row>
    <row r="317" ht="14.25" customHeight="1">
      <c r="G317" s="55"/>
    </row>
    <row r="318" ht="14.25" customHeight="1">
      <c r="G318" s="55"/>
    </row>
    <row r="319" ht="14.25" customHeight="1">
      <c r="G319" s="55"/>
    </row>
    <row r="320" ht="14.25" customHeight="1">
      <c r="G320" s="55"/>
    </row>
    <row r="321" ht="14.25" customHeight="1">
      <c r="G321" s="55"/>
    </row>
    <row r="322" ht="14.25" customHeight="1">
      <c r="G322" s="55"/>
    </row>
    <row r="323" ht="14.25" customHeight="1">
      <c r="G323" s="55"/>
    </row>
    <row r="324" ht="14.25" customHeight="1">
      <c r="G324" s="55"/>
    </row>
    <row r="325" ht="14.25" customHeight="1">
      <c r="G325" s="55"/>
    </row>
    <row r="326" ht="14.25" customHeight="1">
      <c r="G326" s="55"/>
    </row>
    <row r="327" ht="14.25" customHeight="1">
      <c r="G327" s="55"/>
    </row>
    <row r="328" ht="14.25" customHeight="1">
      <c r="G328" s="55"/>
    </row>
    <row r="329" ht="14.25" customHeight="1">
      <c r="G329" s="55"/>
    </row>
    <row r="330" ht="14.25" customHeight="1">
      <c r="G330" s="55"/>
    </row>
    <row r="331" ht="14.25" customHeight="1">
      <c r="G331" s="55"/>
    </row>
    <row r="332" ht="14.25" customHeight="1">
      <c r="G332" s="55"/>
    </row>
    <row r="333" ht="14.25" customHeight="1">
      <c r="G333" s="55"/>
    </row>
    <row r="334" ht="14.25" customHeight="1">
      <c r="G334" s="55"/>
    </row>
    <row r="335" ht="14.25" customHeight="1">
      <c r="G335" s="55"/>
    </row>
    <row r="336" ht="14.25" customHeight="1">
      <c r="G336" s="55"/>
    </row>
    <row r="337" ht="14.25" customHeight="1">
      <c r="G337" s="55"/>
    </row>
    <row r="338" ht="14.25" customHeight="1">
      <c r="G338" s="55"/>
    </row>
    <row r="339" ht="14.25" customHeight="1">
      <c r="G339" s="55"/>
    </row>
    <row r="340" ht="14.25" customHeight="1">
      <c r="G340" s="55"/>
    </row>
    <row r="341" ht="14.25" customHeight="1">
      <c r="G341" s="55"/>
    </row>
    <row r="342" ht="14.25" customHeight="1">
      <c r="G342" s="55"/>
    </row>
    <row r="343" ht="14.25" customHeight="1">
      <c r="G343" s="55"/>
    </row>
    <row r="344" ht="14.25" customHeight="1">
      <c r="G344" s="55"/>
    </row>
    <row r="345" ht="14.25" customHeight="1">
      <c r="G345" s="55"/>
    </row>
    <row r="346" ht="14.25" customHeight="1">
      <c r="G346" s="55"/>
    </row>
    <row r="347" ht="14.25" customHeight="1">
      <c r="G347" s="55"/>
    </row>
    <row r="348" ht="14.25" customHeight="1">
      <c r="G348" s="55"/>
    </row>
    <row r="349" ht="14.25" customHeight="1">
      <c r="G349" s="55"/>
    </row>
    <row r="350" ht="14.25" customHeight="1">
      <c r="G350" s="55"/>
    </row>
    <row r="351" ht="14.25" customHeight="1">
      <c r="G351" s="55"/>
    </row>
    <row r="352" ht="14.25" customHeight="1">
      <c r="G352" s="55"/>
    </row>
    <row r="353" ht="14.25" customHeight="1">
      <c r="G353" s="55"/>
    </row>
    <row r="354" ht="14.25" customHeight="1">
      <c r="G354" s="55"/>
    </row>
    <row r="355" ht="14.25" customHeight="1">
      <c r="G355" s="55"/>
    </row>
    <row r="356" ht="14.25" customHeight="1">
      <c r="G356" s="55"/>
    </row>
    <row r="357" ht="14.25" customHeight="1">
      <c r="G357" s="55"/>
    </row>
    <row r="358" ht="14.25" customHeight="1">
      <c r="G358" s="55"/>
    </row>
    <row r="359" ht="14.25" customHeight="1">
      <c r="G359" s="55"/>
    </row>
    <row r="360" ht="14.25" customHeight="1">
      <c r="G360" s="55"/>
    </row>
    <row r="361" ht="14.25" customHeight="1">
      <c r="G361" s="55"/>
    </row>
    <row r="362" ht="14.25" customHeight="1">
      <c r="G362" s="55"/>
    </row>
    <row r="363" ht="14.25" customHeight="1">
      <c r="G363" s="55"/>
    </row>
    <row r="364" ht="14.25" customHeight="1">
      <c r="G364" s="55"/>
    </row>
    <row r="365" ht="14.25" customHeight="1">
      <c r="G365" s="55"/>
    </row>
    <row r="366" ht="14.25" customHeight="1">
      <c r="G366" s="55"/>
    </row>
    <row r="367" ht="14.25" customHeight="1">
      <c r="G367" s="55"/>
    </row>
    <row r="368" ht="14.25" customHeight="1">
      <c r="G368" s="55"/>
    </row>
    <row r="369" ht="14.25" customHeight="1">
      <c r="G369" s="55"/>
    </row>
    <row r="370" ht="14.25" customHeight="1">
      <c r="G370" s="55"/>
    </row>
    <row r="371" ht="14.25" customHeight="1">
      <c r="G371" s="55"/>
    </row>
    <row r="372" ht="14.25" customHeight="1">
      <c r="G372" s="55"/>
    </row>
    <row r="373" ht="14.25" customHeight="1">
      <c r="G373" s="55"/>
    </row>
    <row r="374" ht="14.25" customHeight="1">
      <c r="G374" s="55"/>
    </row>
    <row r="375" ht="14.25" customHeight="1">
      <c r="G375" s="55"/>
    </row>
    <row r="376" ht="14.25" customHeight="1">
      <c r="G376" s="55"/>
    </row>
    <row r="377" ht="14.25" customHeight="1">
      <c r="G377" s="55"/>
    </row>
    <row r="378" ht="14.25" customHeight="1">
      <c r="G378" s="55"/>
    </row>
    <row r="379" ht="14.25" customHeight="1">
      <c r="G379" s="55"/>
    </row>
    <row r="380" ht="14.25" customHeight="1">
      <c r="G380" s="55"/>
    </row>
    <row r="381" ht="14.25" customHeight="1">
      <c r="G381" s="55"/>
    </row>
    <row r="382" ht="14.25" customHeight="1">
      <c r="G382" s="55"/>
    </row>
    <row r="383" ht="14.25" customHeight="1">
      <c r="G383" s="55"/>
    </row>
    <row r="384" ht="14.25" customHeight="1">
      <c r="G384" s="55"/>
    </row>
    <row r="385" ht="14.25" customHeight="1">
      <c r="G385" s="55"/>
    </row>
    <row r="386" ht="14.25" customHeight="1">
      <c r="G386" s="55"/>
    </row>
    <row r="387" ht="14.25" customHeight="1">
      <c r="G387" s="55"/>
    </row>
    <row r="388" ht="14.25" customHeight="1">
      <c r="G388" s="55"/>
    </row>
    <row r="389" ht="14.25" customHeight="1">
      <c r="G389" s="55"/>
    </row>
    <row r="390" ht="14.25" customHeight="1">
      <c r="G390" s="55"/>
    </row>
    <row r="391" ht="14.25" customHeight="1">
      <c r="G391" s="55"/>
    </row>
    <row r="392" ht="14.25" customHeight="1">
      <c r="G392" s="55"/>
    </row>
    <row r="393" ht="14.25" customHeight="1">
      <c r="G393" s="55"/>
    </row>
    <row r="394" ht="14.25" customHeight="1">
      <c r="G394" s="55"/>
    </row>
    <row r="395" ht="14.25" customHeight="1">
      <c r="G395" s="55"/>
    </row>
    <row r="396" ht="14.25" customHeight="1">
      <c r="G396" s="55"/>
    </row>
    <row r="397" ht="14.25" customHeight="1">
      <c r="G397" s="55"/>
    </row>
    <row r="398" ht="14.25" customHeight="1">
      <c r="G398" s="55"/>
    </row>
    <row r="399" ht="14.25" customHeight="1">
      <c r="G399" s="55"/>
    </row>
    <row r="400" ht="14.25" customHeight="1">
      <c r="G400" s="55"/>
    </row>
    <row r="401" ht="14.25" customHeight="1">
      <c r="G401" s="55"/>
    </row>
    <row r="402" ht="14.25" customHeight="1">
      <c r="G402" s="55"/>
    </row>
    <row r="403" ht="14.25" customHeight="1">
      <c r="G403" s="55"/>
    </row>
    <row r="404" ht="14.25" customHeight="1">
      <c r="G404" s="55"/>
    </row>
    <row r="405" ht="14.25" customHeight="1">
      <c r="G405" s="55"/>
    </row>
    <row r="406" ht="14.25" customHeight="1">
      <c r="G406" s="55"/>
    </row>
    <row r="407" ht="14.25" customHeight="1">
      <c r="G407" s="55"/>
    </row>
    <row r="408" ht="14.25" customHeight="1">
      <c r="G408" s="55"/>
    </row>
    <row r="409" ht="14.25" customHeight="1">
      <c r="G409" s="55"/>
    </row>
    <row r="410" ht="14.25" customHeight="1">
      <c r="G410" s="55"/>
    </row>
    <row r="411" ht="14.25" customHeight="1">
      <c r="G411" s="55"/>
    </row>
    <row r="412" ht="14.25" customHeight="1">
      <c r="G412" s="55"/>
    </row>
    <row r="413" ht="14.25" customHeight="1">
      <c r="G413" s="55"/>
    </row>
    <row r="414" ht="14.25" customHeight="1">
      <c r="G414" s="55"/>
    </row>
    <row r="415" ht="14.25" customHeight="1">
      <c r="G415" s="55"/>
    </row>
    <row r="416" ht="14.25" customHeight="1">
      <c r="G416" s="55"/>
    </row>
    <row r="417" ht="14.25" customHeight="1">
      <c r="G417" s="55"/>
    </row>
    <row r="418" ht="14.25" customHeight="1">
      <c r="G418" s="55"/>
    </row>
    <row r="419" ht="14.25" customHeight="1">
      <c r="G419" s="55"/>
    </row>
    <row r="420" ht="14.25" customHeight="1">
      <c r="G420" s="55"/>
    </row>
    <row r="421" ht="14.25" customHeight="1">
      <c r="G421" s="55"/>
    </row>
    <row r="422" ht="14.25" customHeight="1">
      <c r="G422" s="55"/>
    </row>
    <row r="423" ht="14.25" customHeight="1">
      <c r="G423" s="55"/>
    </row>
    <row r="424" ht="14.25" customHeight="1">
      <c r="G424" s="55"/>
    </row>
    <row r="425" ht="14.25" customHeight="1">
      <c r="G425" s="55"/>
    </row>
    <row r="426" ht="14.25" customHeight="1">
      <c r="G426" s="55"/>
    </row>
    <row r="427" ht="14.25" customHeight="1">
      <c r="G427" s="55"/>
    </row>
    <row r="428" ht="14.25" customHeight="1">
      <c r="G428" s="55"/>
    </row>
    <row r="429" ht="14.25" customHeight="1">
      <c r="G429" s="55"/>
    </row>
    <row r="430" ht="14.25" customHeight="1">
      <c r="G430" s="55"/>
    </row>
    <row r="431" ht="14.25" customHeight="1">
      <c r="G431" s="55"/>
    </row>
    <row r="432" ht="14.25" customHeight="1">
      <c r="G432" s="55"/>
    </row>
    <row r="433" ht="14.25" customHeight="1">
      <c r="G433" s="55"/>
    </row>
    <row r="434" ht="14.25" customHeight="1">
      <c r="G434" s="55"/>
    </row>
    <row r="435" ht="14.25" customHeight="1">
      <c r="G435" s="55"/>
    </row>
    <row r="436" ht="14.25" customHeight="1">
      <c r="G436" s="55"/>
    </row>
    <row r="437" ht="14.25" customHeight="1">
      <c r="G437" s="55"/>
    </row>
    <row r="438" ht="14.25" customHeight="1">
      <c r="G438" s="55"/>
    </row>
    <row r="439" ht="14.25" customHeight="1">
      <c r="G439" s="55"/>
    </row>
    <row r="440" ht="14.25" customHeight="1">
      <c r="G440" s="55"/>
    </row>
    <row r="441" ht="14.25" customHeight="1">
      <c r="G441" s="55"/>
    </row>
    <row r="442" ht="14.25" customHeight="1">
      <c r="G442" s="55"/>
    </row>
    <row r="443" ht="14.25" customHeight="1">
      <c r="G443" s="55"/>
    </row>
    <row r="444" ht="14.25" customHeight="1">
      <c r="G444" s="55"/>
    </row>
    <row r="445" ht="14.25" customHeight="1">
      <c r="G445" s="55"/>
    </row>
    <row r="446" ht="14.25" customHeight="1">
      <c r="G446" s="55"/>
    </row>
    <row r="447" ht="14.25" customHeight="1">
      <c r="G447" s="55"/>
    </row>
    <row r="448" ht="14.25" customHeight="1">
      <c r="G448" s="55"/>
    </row>
    <row r="449" ht="14.25" customHeight="1">
      <c r="G449" s="55"/>
    </row>
    <row r="450" ht="14.25" customHeight="1">
      <c r="G450" s="55"/>
    </row>
    <row r="451" ht="14.25" customHeight="1">
      <c r="G451" s="55"/>
    </row>
    <row r="452" ht="14.25" customHeight="1">
      <c r="G452" s="55"/>
    </row>
    <row r="453" ht="14.25" customHeight="1">
      <c r="G453" s="55"/>
    </row>
    <row r="454" ht="14.25" customHeight="1">
      <c r="G454" s="55"/>
    </row>
    <row r="455" ht="14.25" customHeight="1">
      <c r="G455" s="55"/>
    </row>
    <row r="456" ht="14.25" customHeight="1">
      <c r="G456" s="55"/>
    </row>
    <row r="457" ht="14.25" customHeight="1">
      <c r="G457" s="55"/>
    </row>
    <row r="458" ht="14.25" customHeight="1">
      <c r="G458" s="55"/>
    </row>
    <row r="459" ht="14.25" customHeight="1">
      <c r="G459" s="55"/>
    </row>
    <row r="460" ht="14.25" customHeight="1">
      <c r="G460" s="55"/>
    </row>
    <row r="461" ht="14.25" customHeight="1">
      <c r="G461" s="55"/>
    </row>
    <row r="462" ht="14.25" customHeight="1">
      <c r="G462" s="55"/>
    </row>
    <row r="463" ht="14.25" customHeight="1">
      <c r="G463" s="55"/>
    </row>
    <row r="464" ht="14.25" customHeight="1">
      <c r="G464" s="55"/>
    </row>
    <row r="465" ht="14.25" customHeight="1">
      <c r="G465" s="55"/>
    </row>
    <row r="466" ht="14.25" customHeight="1">
      <c r="G466" s="55"/>
    </row>
    <row r="467" ht="14.25" customHeight="1">
      <c r="G467" s="55"/>
    </row>
    <row r="468" ht="14.25" customHeight="1">
      <c r="G468" s="55"/>
    </row>
    <row r="469" ht="14.25" customHeight="1">
      <c r="G469" s="55"/>
    </row>
    <row r="470" ht="14.25" customHeight="1">
      <c r="G470" s="55"/>
    </row>
    <row r="471" ht="14.25" customHeight="1">
      <c r="G471" s="55"/>
    </row>
    <row r="472" ht="14.25" customHeight="1">
      <c r="G472" s="55"/>
    </row>
    <row r="473" ht="14.25" customHeight="1">
      <c r="G473" s="55"/>
    </row>
    <row r="474" ht="14.25" customHeight="1">
      <c r="G474" s="55"/>
    </row>
    <row r="475" ht="14.25" customHeight="1">
      <c r="G475" s="55"/>
    </row>
    <row r="476" ht="14.25" customHeight="1">
      <c r="G476" s="55"/>
    </row>
    <row r="477" ht="14.25" customHeight="1">
      <c r="G477" s="55"/>
    </row>
    <row r="478" ht="14.25" customHeight="1">
      <c r="G478" s="55"/>
    </row>
    <row r="479" ht="14.25" customHeight="1">
      <c r="G479" s="55"/>
    </row>
    <row r="480" ht="14.25" customHeight="1">
      <c r="G480" s="55"/>
    </row>
    <row r="481" ht="14.25" customHeight="1">
      <c r="G481" s="55"/>
    </row>
    <row r="482" ht="14.25" customHeight="1">
      <c r="G482" s="55"/>
    </row>
    <row r="483" ht="14.25" customHeight="1">
      <c r="G483" s="55"/>
    </row>
    <row r="484" ht="14.25" customHeight="1">
      <c r="G484" s="55"/>
    </row>
    <row r="485" ht="14.25" customHeight="1">
      <c r="G485" s="55"/>
    </row>
    <row r="486" ht="14.25" customHeight="1">
      <c r="G486" s="55"/>
    </row>
    <row r="487" ht="14.25" customHeight="1">
      <c r="G487" s="55"/>
    </row>
    <row r="488" ht="14.25" customHeight="1">
      <c r="G488" s="55"/>
    </row>
    <row r="489" ht="14.25" customHeight="1">
      <c r="G489" s="55"/>
    </row>
    <row r="490" ht="14.25" customHeight="1">
      <c r="G490" s="55"/>
    </row>
    <row r="491" ht="14.25" customHeight="1">
      <c r="G491" s="55"/>
    </row>
    <row r="492" ht="14.25" customHeight="1">
      <c r="G492" s="55"/>
    </row>
    <row r="493" ht="14.25" customHeight="1">
      <c r="G493" s="55"/>
    </row>
    <row r="494" ht="14.25" customHeight="1">
      <c r="G494" s="55"/>
    </row>
    <row r="495" ht="14.25" customHeight="1">
      <c r="G495" s="55"/>
    </row>
    <row r="496" ht="14.25" customHeight="1">
      <c r="G496" s="55"/>
    </row>
    <row r="497" ht="14.25" customHeight="1">
      <c r="G497" s="55"/>
    </row>
    <row r="498" ht="14.25" customHeight="1">
      <c r="G498" s="55"/>
    </row>
    <row r="499" ht="14.25" customHeight="1">
      <c r="G499" s="55"/>
    </row>
    <row r="500" ht="14.25" customHeight="1">
      <c r="G500" s="55"/>
    </row>
    <row r="501" ht="14.25" customHeight="1">
      <c r="G501" s="55"/>
    </row>
    <row r="502" ht="14.25" customHeight="1">
      <c r="G502" s="55"/>
    </row>
    <row r="503" ht="14.25" customHeight="1">
      <c r="G503" s="55"/>
    </row>
    <row r="504" ht="14.25" customHeight="1">
      <c r="G504" s="55"/>
    </row>
    <row r="505" ht="14.25" customHeight="1">
      <c r="G505" s="55"/>
    </row>
    <row r="506" ht="14.25" customHeight="1">
      <c r="G506" s="55"/>
    </row>
    <row r="507" ht="14.25" customHeight="1">
      <c r="G507" s="55"/>
    </row>
    <row r="508" ht="14.25" customHeight="1">
      <c r="G508" s="55"/>
    </row>
    <row r="509" ht="14.25" customHeight="1">
      <c r="G509" s="55"/>
    </row>
    <row r="510" ht="14.25" customHeight="1">
      <c r="G510" s="55"/>
    </row>
    <row r="511" ht="14.25" customHeight="1">
      <c r="G511" s="55"/>
    </row>
    <row r="512" ht="14.25" customHeight="1">
      <c r="G512" s="55"/>
    </row>
    <row r="513" ht="14.25" customHeight="1">
      <c r="G513" s="55"/>
    </row>
    <row r="514" ht="14.25" customHeight="1">
      <c r="G514" s="55"/>
    </row>
    <row r="515" ht="14.25" customHeight="1">
      <c r="G515" s="55"/>
    </row>
    <row r="516" ht="14.25" customHeight="1">
      <c r="G516" s="55"/>
    </row>
    <row r="517" ht="14.25" customHeight="1">
      <c r="G517" s="55"/>
    </row>
    <row r="518" ht="14.25" customHeight="1">
      <c r="G518" s="55"/>
    </row>
    <row r="519" ht="14.25" customHeight="1">
      <c r="G519" s="55"/>
    </row>
    <row r="520" ht="14.25" customHeight="1">
      <c r="G520" s="55"/>
    </row>
    <row r="521" ht="14.25" customHeight="1">
      <c r="G521" s="55"/>
    </row>
    <row r="522" ht="14.25" customHeight="1">
      <c r="G522" s="55"/>
    </row>
    <row r="523" ht="14.25" customHeight="1">
      <c r="G523" s="55"/>
    </row>
    <row r="524" ht="14.25" customHeight="1">
      <c r="G524" s="55"/>
    </row>
    <row r="525" ht="14.25" customHeight="1">
      <c r="G525" s="55"/>
    </row>
    <row r="526" ht="14.25" customHeight="1">
      <c r="G526" s="55"/>
    </row>
    <row r="527" ht="14.25" customHeight="1">
      <c r="G527" s="55"/>
    </row>
    <row r="528" ht="14.25" customHeight="1">
      <c r="G528" s="55"/>
    </row>
    <row r="529" ht="14.25" customHeight="1">
      <c r="G529" s="55"/>
    </row>
    <row r="530" ht="14.25" customHeight="1">
      <c r="G530" s="55"/>
    </row>
    <row r="531" ht="14.25" customHeight="1">
      <c r="G531" s="55"/>
    </row>
    <row r="532" ht="14.25" customHeight="1">
      <c r="G532" s="55"/>
    </row>
    <row r="533" ht="14.25" customHeight="1">
      <c r="G533" s="55"/>
    </row>
    <row r="534" ht="14.25" customHeight="1">
      <c r="G534" s="55"/>
    </row>
    <row r="535" ht="14.25" customHeight="1">
      <c r="G535" s="55"/>
    </row>
    <row r="536" ht="14.25" customHeight="1">
      <c r="G536" s="55"/>
    </row>
    <row r="537" ht="14.25" customHeight="1">
      <c r="G537" s="55"/>
    </row>
    <row r="538" ht="14.25" customHeight="1">
      <c r="G538" s="55"/>
    </row>
    <row r="539" ht="14.25" customHeight="1">
      <c r="G539" s="55"/>
    </row>
    <row r="540" ht="14.25" customHeight="1">
      <c r="G540" s="55"/>
    </row>
    <row r="541" ht="14.25" customHeight="1">
      <c r="G541" s="55"/>
    </row>
    <row r="542" ht="14.25" customHeight="1">
      <c r="G542" s="55"/>
    </row>
    <row r="543" ht="14.25" customHeight="1">
      <c r="G543" s="55"/>
    </row>
    <row r="544" ht="14.25" customHeight="1">
      <c r="G544" s="55"/>
    </row>
    <row r="545" ht="14.25" customHeight="1">
      <c r="G545" s="55"/>
    </row>
    <row r="546" ht="14.25" customHeight="1">
      <c r="G546" s="55"/>
    </row>
    <row r="547" ht="14.25" customHeight="1">
      <c r="G547" s="55"/>
    </row>
    <row r="548" ht="14.25" customHeight="1">
      <c r="G548" s="55"/>
    </row>
    <row r="549" ht="14.25" customHeight="1">
      <c r="G549" s="55"/>
    </row>
    <row r="550" ht="14.25" customHeight="1">
      <c r="G550" s="55"/>
    </row>
    <row r="551" ht="14.25" customHeight="1">
      <c r="G551" s="55"/>
    </row>
    <row r="552" ht="14.25" customHeight="1">
      <c r="G552" s="55"/>
    </row>
    <row r="553" ht="14.25" customHeight="1">
      <c r="G553" s="55"/>
    </row>
    <row r="554" ht="14.25" customHeight="1">
      <c r="G554" s="55"/>
    </row>
    <row r="555" ht="14.25" customHeight="1">
      <c r="G555" s="55"/>
    </row>
    <row r="556" ht="14.25" customHeight="1">
      <c r="G556" s="55"/>
    </row>
    <row r="557" ht="14.25" customHeight="1">
      <c r="G557" s="55"/>
    </row>
    <row r="558" ht="14.25" customHeight="1">
      <c r="G558" s="55"/>
    </row>
    <row r="559" ht="14.25" customHeight="1">
      <c r="G559" s="55"/>
    </row>
    <row r="560" ht="14.25" customHeight="1">
      <c r="G560" s="55"/>
    </row>
    <row r="561" ht="14.25" customHeight="1">
      <c r="G561" s="55"/>
    </row>
    <row r="562" ht="14.25" customHeight="1">
      <c r="G562" s="55"/>
    </row>
    <row r="563" ht="14.25" customHeight="1">
      <c r="G563" s="55"/>
    </row>
    <row r="564" ht="14.25" customHeight="1">
      <c r="G564" s="55"/>
    </row>
    <row r="565" ht="14.25" customHeight="1">
      <c r="G565" s="55"/>
    </row>
    <row r="566" ht="14.25" customHeight="1">
      <c r="G566" s="55"/>
    </row>
    <row r="567" ht="14.25" customHeight="1">
      <c r="G567" s="55"/>
    </row>
    <row r="568" ht="14.25" customHeight="1">
      <c r="G568" s="55"/>
    </row>
    <row r="569" ht="14.25" customHeight="1">
      <c r="G569" s="55"/>
    </row>
    <row r="570" ht="14.25" customHeight="1">
      <c r="G570" s="55"/>
    </row>
    <row r="571" ht="14.25" customHeight="1">
      <c r="G571" s="55"/>
    </row>
    <row r="572" ht="14.25" customHeight="1">
      <c r="G572" s="55"/>
    </row>
    <row r="573" ht="14.25" customHeight="1">
      <c r="G573" s="55"/>
    </row>
    <row r="574" ht="14.25" customHeight="1">
      <c r="G574" s="55"/>
    </row>
    <row r="575" ht="14.25" customHeight="1">
      <c r="G575" s="55"/>
    </row>
    <row r="576" ht="14.25" customHeight="1">
      <c r="G576" s="55"/>
    </row>
    <row r="577" ht="14.25" customHeight="1">
      <c r="G577" s="55"/>
    </row>
    <row r="578" ht="14.25" customHeight="1">
      <c r="G578" s="55"/>
    </row>
    <row r="579" ht="14.25" customHeight="1">
      <c r="G579" s="55"/>
    </row>
    <row r="580" ht="14.25" customHeight="1">
      <c r="G580" s="55"/>
    </row>
    <row r="581" ht="14.25" customHeight="1">
      <c r="G581" s="55"/>
    </row>
    <row r="582" ht="14.25" customHeight="1">
      <c r="G582" s="55"/>
    </row>
    <row r="583" ht="14.25" customHeight="1">
      <c r="G583" s="55"/>
    </row>
    <row r="584" ht="14.25" customHeight="1">
      <c r="G584" s="55"/>
    </row>
    <row r="585" ht="14.25" customHeight="1">
      <c r="G585" s="55"/>
    </row>
    <row r="586" ht="14.25" customHeight="1">
      <c r="G586" s="55"/>
    </row>
    <row r="587" ht="14.25" customHeight="1">
      <c r="G587" s="55"/>
    </row>
    <row r="588" ht="14.25" customHeight="1">
      <c r="G588" s="55"/>
    </row>
    <row r="589" ht="14.25" customHeight="1">
      <c r="G589" s="55"/>
    </row>
    <row r="590" ht="14.25" customHeight="1">
      <c r="G590" s="55"/>
    </row>
    <row r="591" ht="14.25" customHeight="1">
      <c r="G591" s="55"/>
    </row>
    <row r="592" ht="14.25" customHeight="1">
      <c r="G592" s="55"/>
    </row>
    <row r="593" ht="14.25" customHeight="1">
      <c r="G593" s="55"/>
    </row>
    <row r="594" ht="14.25" customHeight="1">
      <c r="G594" s="55"/>
    </row>
    <row r="595" ht="14.25" customHeight="1">
      <c r="G595" s="55"/>
    </row>
    <row r="596" ht="14.25" customHeight="1">
      <c r="G596" s="55"/>
    </row>
    <row r="597" ht="14.25" customHeight="1">
      <c r="G597" s="55"/>
    </row>
    <row r="598" ht="14.25" customHeight="1">
      <c r="G598" s="55"/>
    </row>
    <row r="599" ht="14.25" customHeight="1">
      <c r="G599" s="55"/>
    </row>
    <row r="600" ht="14.25" customHeight="1">
      <c r="G600" s="55"/>
    </row>
    <row r="601" ht="14.25" customHeight="1">
      <c r="G601" s="55"/>
    </row>
    <row r="602" ht="14.25" customHeight="1">
      <c r="G602" s="55"/>
    </row>
    <row r="603" ht="14.25" customHeight="1">
      <c r="G603" s="55"/>
    </row>
    <row r="604" ht="14.25" customHeight="1">
      <c r="G604" s="55"/>
    </row>
    <row r="605" ht="14.25" customHeight="1">
      <c r="G605" s="55"/>
    </row>
    <row r="606" ht="14.25" customHeight="1">
      <c r="G606" s="55"/>
    </row>
    <row r="607" ht="14.25" customHeight="1">
      <c r="G607" s="55"/>
    </row>
    <row r="608" ht="14.25" customHeight="1">
      <c r="G608" s="55"/>
    </row>
    <row r="609" ht="14.25" customHeight="1">
      <c r="G609" s="55"/>
    </row>
    <row r="610" ht="14.25" customHeight="1">
      <c r="G610" s="55"/>
    </row>
    <row r="611" ht="14.25" customHeight="1">
      <c r="G611" s="55"/>
    </row>
    <row r="612" ht="14.25" customHeight="1">
      <c r="G612" s="55"/>
    </row>
    <row r="613" ht="14.25" customHeight="1">
      <c r="G613" s="55"/>
    </row>
    <row r="614" ht="14.25" customHeight="1">
      <c r="G614" s="55"/>
    </row>
    <row r="615" ht="14.25" customHeight="1">
      <c r="G615" s="55"/>
    </row>
    <row r="616" ht="14.25" customHeight="1">
      <c r="G616" s="55"/>
    </row>
    <row r="617" ht="14.25" customHeight="1">
      <c r="G617" s="55"/>
    </row>
    <row r="618" ht="14.25" customHeight="1">
      <c r="G618" s="55"/>
    </row>
    <row r="619" ht="14.25" customHeight="1">
      <c r="G619" s="55"/>
    </row>
    <row r="620" ht="14.25" customHeight="1">
      <c r="G620" s="55"/>
    </row>
    <row r="621" ht="14.25" customHeight="1">
      <c r="G621" s="55"/>
    </row>
    <row r="622" ht="14.25" customHeight="1">
      <c r="G622" s="55"/>
    </row>
    <row r="623" ht="14.25" customHeight="1">
      <c r="G623" s="55"/>
    </row>
    <row r="624" ht="14.25" customHeight="1">
      <c r="G624" s="55"/>
    </row>
    <row r="625" ht="14.25" customHeight="1">
      <c r="G625" s="55"/>
    </row>
    <row r="626" ht="14.25" customHeight="1">
      <c r="G626" s="55"/>
    </row>
    <row r="627" ht="14.25" customHeight="1">
      <c r="G627" s="55"/>
    </row>
    <row r="628" ht="14.25" customHeight="1">
      <c r="G628" s="55"/>
    </row>
    <row r="629" ht="14.25" customHeight="1">
      <c r="G629" s="55"/>
    </row>
    <row r="630" ht="14.25" customHeight="1">
      <c r="G630" s="55"/>
    </row>
    <row r="631" ht="14.25" customHeight="1">
      <c r="G631" s="55"/>
    </row>
    <row r="632" ht="14.25" customHeight="1">
      <c r="G632" s="55"/>
    </row>
    <row r="633" ht="14.25" customHeight="1">
      <c r="G633" s="55"/>
    </row>
    <row r="634" ht="14.25" customHeight="1">
      <c r="G634" s="55"/>
    </row>
    <row r="635" ht="14.25" customHeight="1">
      <c r="G635" s="55"/>
    </row>
    <row r="636" ht="14.25" customHeight="1">
      <c r="G636" s="55"/>
    </row>
    <row r="637" ht="14.25" customHeight="1">
      <c r="G637" s="55"/>
    </row>
    <row r="638" ht="14.25" customHeight="1">
      <c r="G638" s="55"/>
    </row>
    <row r="639" ht="14.25" customHeight="1">
      <c r="G639" s="55"/>
    </row>
    <row r="640" ht="14.25" customHeight="1">
      <c r="G640" s="55"/>
    </row>
    <row r="641" ht="14.25" customHeight="1">
      <c r="G641" s="55"/>
    </row>
    <row r="642" ht="14.25" customHeight="1">
      <c r="G642" s="55"/>
    </row>
    <row r="643" ht="14.25" customHeight="1">
      <c r="G643" s="55"/>
    </row>
    <row r="644" ht="14.25" customHeight="1">
      <c r="G644" s="55"/>
    </row>
    <row r="645" ht="14.25" customHeight="1">
      <c r="G645" s="55"/>
    </row>
    <row r="646" ht="14.25" customHeight="1">
      <c r="G646" s="55"/>
    </row>
    <row r="647" ht="14.25" customHeight="1">
      <c r="G647" s="55"/>
    </row>
    <row r="648" ht="14.25" customHeight="1">
      <c r="G648" s="55"/>
    </row>
    <row r="649" ht="14.25" customHeight="1">
      <c r="G649" s="55"/>
    </row>
    <row r="650" ht="14.25" customHeight="1">
      <c r="G650" s="55"/>
    </row>
    <row r="651" ht="14.25" customHeight="1">
      <c r="G651" s="55"/>
    </row>
    <row r="652" ht="14.25" customHeight="1">
      <c r="G652" s="55"/>
    </row>
    <row r="653" ht="14.25" customHeight="1">
      <c r="G653" s="55"/>
    </row>
    <row r="654" ht="14.25" customHeight="1">
      <c r="G654" s="55"/>
    </row>
    <row r="655" ht="14.25" customHeight="1">
      <c r="G655" s="55"/>
    </row>
    <row r="656" ht="14.25" customHeight="1">
      <c r="G656" s="55"/>
    </row>
    <row r="657" ht="14.25" customHeight="1">
      <c r="G657" s="55"/>
    </row>
    <row r="658" ht="14.25" customHeight="1">
      <c r="G658" s="55"/>
    </row>
    <row r="659" ht="14.25" customHeight="1">
      <c r="G659" s="55"/>
    </row>
    <row r="660" ht="14.25" customHeight="1">
      <c r="G660" s="55"/>
    </row>
    <row r="661" ht="14.25" customHeight="1">
      <c r="G661" s="55"/>
    </row>
    <row r="662" ht="14.25" customHeight="1">
      <c r="G662" s="55"/>
    </row>
    <row r="663" ht="14.25" customHeight="1">
      <c r="G663" s="55"/>
    </row>
    <row r="664" ht="14.25" customHeight="1">
      <c r="G664" s="55"/>
    </row>
    <row r="665" ht="14.25" customHeight="1">
      <c r="G665" s="55"/>
    </row>
    <row r="666" ht="14.25" customHeight="1">
      <c r="G666" s="55"/>
    </row>
    <row r="667" ht="14.25" customHeight="1">
      <c r="G667" s="55"/>
    </row>
    <row r="668" ht="14.25" customHeight="1">
      <c r="G668" s="55"/>
    </row>
    <row r="669" ht="14.25" customHeight="1">
      <c r="G669" s="55"/>
    </row>
    <row r="670" ht="14.25" customHeight="1">
      <c r="G670" s="55"/>
    </row>
    <row r="671" ht="14.25" customHeight="1">
      <c r="G671" s="55"/>
    </row>
    <row r="672" ht="14.25" customHeight="1">
      <c r="G672" s="55"/>
    </row>
    <row r="673" ht="14.25" customHeight="1">
      <c r="G673" s="55"/>
    </row>
    <row r="674" ht="14.25" customHeight="1">
      <c r="G674" s="55"/>
    </row>
    <row r="675" ht="14.25" customHeight="1">
      <c r="G675" s="55"/>
    </row>
    <row r="676" ht="14.25" customHeight="1">
      <c r="G676" s="55"/>
    </row>
    <row r="677" ht="14.25" customHeight="1">
      <c r="G677" s="55"/>
    </row>
    <row r="678" ht="14.25" customHeight="1">
      <c r="G678" s="55"/>
    </row>
    <row r="679" ht="14.25" customHeight="1">
      <c r="G679" s="55"/>
    </row>
    <row r="680" ht="14.25" customHeight="1">
      <c r="G680" s="55"/>
    </row>
    <row r="681" ht="14.25" customHeight="1">
      <c r="G681" s="55"/>
    </row>
    <row r="682" ht="14.25" customHeight="1">
      <c r="G682" s="55"/>
    </row>
    <row r="683" ht="14.25" customHeight="1">
      <c r="G683" s="55"/>
    </row>
    <row r="684" ht="14.25" customHeight="1">
      <c r="G684" s="55"/>
    </row>
    <row r="685" ht="14.25" customHeight="1">
      <c r="G685" s="55"/>
    </row>
    <row r="686" ht="14.25" customHeight="1">
      <c r="G686" s="55"/>
    </row>
    <row r="687" ht="14.25" customHeight="1">
      <c r="G687" s="55"/>
    </row>
    <row r="688" ht="14.25" customHeight="1">
      <c r="G688" s="55"/>
    </row>
    <row r="689" ht="14.25" customHeight="1">
      <c r="G689" s="55"/>
    </row>
    <row r="690" ht="14.25" customHeight="1">
      <c r="G690" s="55"/>
    </row>
    <row r="691" ht="14.25" customHeight="1">
      <c r="G691" s="55"/>
    </row>
    <row r="692" ht="14.25" customHeight="1">
      <c r="G692" s="55"/>
    </row>
    <row r="693" ht="14.25" customHeight="1">
      <c r="G693" s="55"/>
    </row>
    <row r="694" ht="14.25" customHeight="1">
      <c r="G694" s="55"/>
    </row>
    <row r="695" ht="14.25" customHeight="1">
      <c r="G695" s="55"/>
    </row>
    <row r="696" ht="14.25" customHeight="1">
      <c r="G696" s="55"/>
    </row>
    <row r="697" ht="14.25" customHeight="1">
      <c r="G697" s="55"/>
    </row>
    <row r="698" ht="14.25" customHeight="1">
      <c r="G698" s="55"/>
    </row>
    <row r="699" ht="14.25" customHeight="1">
      <c r="G699" s="55"/>
    </row>
    <row r="700" ht="14.25" customHeight="1">
      <c r="G700" s="55"/>
    </row>
    <row r="701" ht="14.25" customHeight="1">
      <c r="G701" s="55"/>
    </row>
    <row r="702" ht="14.25" customHeight="1">
      <c r="G702" s="55"/>
    </row>
    <row r="703" ht="14.25" customHeight="1">
      <c r="G703" s="55"/>
    </row>
    <row r="704" ht="14.25" customHeight="1">
      <c r="G704" s="55"/>
    </row>
    <row r="705" ht="14.25" customHeight="1">
      <c r="G705" s="55"/>
    </row>
    <row r="706" ht="14.25" customHeight="1">
      <c r="G706" s="55"/>
    </row>
    <row r="707" ht="14.25" customHeight="1">
      <c r="G707" s="55"/>
    </row>
    <row r="708" ht="14.25" customHeight="1">
      <c r="G708" s="55"/>
    </row>
    <row r="709" ht="14.25" customHeight="1">
      <c r="G709" s="55"/>
    </row>
    <row r="710" ht="14.25" customHeight="1">
      <c r="G710" s="55"/>
    </row>
    <row r="711" ht="14.25" customHeight="1">
      <c r="G711" s="55"/>
    </row>
    <row r="712" ht="14.25" customHeight="1">
      <c r="G712" s="55"/>
    </row>
    <row r="713" ht="14.25" customHeight="1">
      <c r="G713" s="55"/>
    </row>
    <row r="714" ht="14.25" customHeight="1">
      <c r="G714" s="55"/>
    </row>
    <row r="715" ht="14.25" customHeight="1">
      <c r="G715" s="55"/>
    </row>
    <row r="716" ht="14.25" customHeight="1">
      <c r="G716" s="55"/>
    </row>
    <row r="717" ht="14.25" customHeight="1">
      <c r="G717" s="55"/>
    </row>
    <row r="718" ht="14.25" customHeight="1">
      <c r="G718" s="55"/>
    </row>
    <row r="719" ht="14.25" customHeight="1">
      <c r="G719" s="55"/>
    </row>
    <row r="720" ht="14.25" customHeight="1">
      <c r="G720" s="55"/>
    </row>
    <row r="721" ht="14.25" customHeight="1">
      <c r="G721" s="55"/>
    </row>
    <row r="722" ht="14.25" customHeight="1">
      <c r="G722" s="55"/>
    </row>
    <row r="723" ht="14.25" customHeight="1">
      <c r="G723" s="55"/>
    </row>
    <row r="724" ht="14.25" customHeight="1">
      <c r="G724" s="55"/>
    </row>
    <row r="725" ht="14.25" customHeight="1">
      <c r="G725" s="55"/>
    </row>
    <row r="726" ht="14.25" customHeight="1">
      <c r="G726" s="55"/>
    </row>
    <row r="727" ht="14.25" customHeight="1">
      <c r="G727" s="55"/>
    </row>
    <row r="728" ht="14.25" customHeight="1">
      <c r="G728" s="55"/>
    </row>
    <row r="729" ht="14.25" customHeight="1">
      <c r="G729" s="55"/>
    </row>
    <row r="730" ht="14.25" customHeight="1">
      <c r="G730" s="55"/>
    </row>
    <row r="731" ht="14.25" customHeight="1">
      <c r="G731" s="55"/>
    </row>
    <row r="732" ht="14.25" customHeight="1">
      <c r="G732" s="55"/>
    </row>
    <row r="733" ht="14.25" customHeight="1">
      <c r="G733" s="55"/>
    </row>
    <row r="734" ht="14.25" customHeight="1">
      <c r="G734" s="55"/>
    </row>
    <row r="735" ht="14.25" customHeight="1">
      <c r="G735" s="55"/>
    </row>
    <row r="736" ht="14.25" customHeight="1">
      <c r="G736" s="55"/>
    </row>
    <row r="737" ht="14.25" customHeight="1">
      <c r="G737" s="55"/>
    </row>
    <row r="738" ht="14.25" customHeight="1">
      <c r="G738" s="55"/>
    </row>
    <row r="739" ht="14.25" customHeight="1">
      <c r="G739" s="55"/>
    </row>
    <row r="740" ht="14.25" customHeight="1">
      <c r="G740" s="55"/>
    </row>
    <row r="741" ht="14.25" customHeight="1">
      <c r="G741" s="55"/>
    </row>
    <row r="742" ht="14.25" customHeight="1">
      <c r="G742" s="55"/>
    </row>
    <row r="743" ht="14.25" customHeight="1">
      <c r="G743" s="55"/>
    </row>
    <row r="744" ht="14.25" customHeight="1">
      <c r="G744" s="55"/>
    </row>
    <row r="745" ht="14.25" customHeight="1">
      <c r="G745" s="55"/>
    </row>
    <row r="746" ht="14.25" customHeight="1">
      <c r="G746" s="55"/>
    </row>
    <row r="747" ht="14.25" customHeight="1">
      <c r="G747" s="55"/>
    </row>
    <row r="748" ht="14.25" customHeight="1">
      <c r="G748" s="55"/>
    </row>
    <row r="749" ht="14.25" customHeight="1">
      <c r="G749" s="55"/>
    </row>
    <row r="750" ht="14.25" customHeight="1">
      <c r="G750" s="55"/>
    </row>
    <row r="751" ht="14.25" customHeight="1">
      <c r="G751" s="55"/>
    </row>
    <row r="752" ht="14.25" customHeight="1">
      <c r="G752" s="55"/>
    </row>
    <row r="753" ht="14.25" customHeight="1">
      <c r="G753" s="55"/>
    </row>
    <row r="754" ht="14.25" customHeight="1">
      <c r="G754" s="55"/>
    </row>
    <row r="755" ht="14.25" customHeight="1">
      <c r="G755" s="55"/>
    </row>
    <row r="756" ht="14.25" customHeight="1">
      <c r="G756" s="55"/>
    </row>
    <row r="757" ht="14.25" customHeight="1">
      <c r="G757" s="55"/>
    </row>
    <row r="758" ht="14.25" customHeight="1">
      <c r="G758" s="55"/>
    </row>
    <row r="759" ht="14.25" customHeight="1">
      <c r="G759" s="55"/>
    </row>
    <row r="760" ht="14.25" customHeight="1">
      <c r="G760" s="55"/>
    </row>
    <row r="761" ht="14.25" customHeight="1">
      <c r="G761" s="55"/>
    </row>
    <row r="762" ht="14.25" customHeight="1">
      <c r="G762" s="55"/>
    </row>
    <row r="763" ht="14.25" customHeight="1">
      <c r="G763" s="55"/>
    </row>
    <row r="764" ht="14.25" customHeight="1">
      <c r="G764" s="55"/>
    </row>
    <row r="765" ht="14.25" customHeight="1">
      <c r="G765" s="55"/>
    </row>
    <row r="766" ht="14.25" customHeight="1">
      <c r="G766" s="55"/>
    </row>
    <row r="767" ht="14.25" customHeight="1">
      <c r="G767" s="55"/>
    </row>
    <row r="768" ht="14.25" customHeight="1">
      <c r="G768" s="55"/>
    </row>
    <row r="769" ht="14.25" customHeight="1">
      <c r="G769" s="55"/>
    </row>
    <row r="770" ht="14.25" customHeight="1">
      <c r="G770" s="55"/>
    </row>
    <row r="771" ht="14.25" customHeight="1">
      <c r="G771" s="55"/>
    </row>
    <row r="772" ht="14.25" customHeight="1">
      <c r="G772" s="55"/>
    </row>
    <row r="773" ht="14.25" customHeight="1">
      <c r="G773" s="55"/>
    </row>
    <row r="774" ht="14.25" customHeight="1">
      <c r="G774" s="55"/>
    </row>
    <row r="775" ht="14.25" customHeight="1">
      <c r="G775" s="55"/>
    </row>
    <row r="776" ht="14.25" customHeight="1">
      <c r="G776" s="55"/>
    </row>
    <row r="777" ht="14.25" customHeight="1">
      <c r="G777" s="55"/>
    </row>
    <row r="778" ht="14.25" customHeight="1">
      <c r="G778" s="55"/>
    </row>
    <row r="779" ht="14.25" customHeight="1">
      <c r="G779" s="55"/>
    </row>
    <row r="780" ht="14.25" customHeight="1">
      <c r="G780" s="55"/>
    </row>
    <row r="781" ht="14.25" customHeight="1">
      <c r="G781" s="55"/>
    </row>
    <row r="782" ht="14.25" customHeight="1">
      <c r="G782" s="55"/>
    </row>
    <row r="783" ht="14.25" customHeight="1">
      <c r="G783" s="55"/>
    </row>
    <row r="784" ht="14.25" customHeight="1">
      <c r="G784" s="55"/>
    </row>
    <row r="785" ht="14.25" customHeight="1">
      <c r="G785" s="55"/>
    </row>
    <row r="786" ht="14.25" customHeight="1">
      <c r="G786" s="55"/>
    </row>
    <row r="787" ht="14.25" customHeight="1">
      <c r="G787" s="55"/>
    </row>
    <row r="788" ht="14.25" customHeight="1">
      <c r="G788" s="55"/>
    </row>
    <row r="789" ht="14.25" customHeight="1">
      <c r="G789" s="55"/>
    </row>
    <row r="790" ht="14.25" customHeight="1">
      <c r="G790" s="55"/>
    </row>
    <row r="791" ht="14.25" customHeight="1">
      <c r="G791" s="55"/>
    </row>
    <row r="792" ht="14.25" customHeight="1">
      <c r="G792" s="55"/>
    </row>
    <row r="793" ht="14.25" customHeight="1">
      <c r="G793" s="55"/>
    </row>
    <row r="794" ht="14.25" customHeight="1">
      <c r="G794" s="55"/>
    </row>
    <row r="795" ht="14.25" customHeight="1">
      <c r="G795" s="55"/>
    </row>
    <row r="796" ht="14.25" customHeight="1">
      <c r="G796" s="55"/>
    </row>
    <row r="797" ht="14.25" customHeight="1">
      <c r="G797" s="55"/>
    </row>
    <row r="798" ht="14.25" customHeight="1">
      <c r="G798" s="55"/>
    </row>
    <row r="799" ht="14.25" customHeight="1">
      <c r="G799" s="55"/>
    </row>
    <row r="800" ht="14.25" customHeight="1">
      <c r="G800" s="55"/>
    </row>
    <row r="801" ht="14.25" customHeight="1">
      <c r="G801" s="55"/>
    </row>
    <row r="802" ht="14.25" customHeight="1">
      <c r="G802" s="55"/>
    </row>
    <row r="803" ht="14.25" customHeight="1">
      <c r="G803" s="55"/>
    </row>
    <row r="804" ht="14.25" customHeight="1">
      <c r="G804" s="55"/>
    </row>
    <row r="805" ht="14.25" customHeight="1">
      <c r="G805" s="55"/>
    </row>
    <row r="806" ht="14.25" customHeight="1">
      <c r="G806" s="55"/>
    </row>
    <row r="807" ht="14.25" customHeight="1">
      <c r="G807" s="55"/>
    </row>
    <row r="808" ht="14.25" customHeight="1">
      <c r="G808" s="55"/>
    </row>
    <row r="809" ht="14.25" customHeight="1">
      <c r="G809" s="55"/>
    </row>
    <row r="810" ht="14.25" customHeight="1">
      <c r="G810" s="55"/>
    </row>
    <row r="811" ht="14.25" customHeight="1">
      <c r="G811" s="55"/>
    </row>
    <row r="812" ht="14.25" customHeight="1">
      <c r="G812" s="55"/>
    </row>
    <row r="813" ht="14.25" customHeight="1">
      <c r="G813" s="55"/>
    </row>
    <row r="814" ht="14.25" customHeight="1">
      <c r="G814" s="55"/>
    </row>
    <row r="815" ht="14.25" customHeight="1">
      <c r="G815" s="55"/>
    </row>
    <row r="816" ht="14.25" customHeight="1">
      <c r="G816" s="55"/>
    </row>
    <row r="817" ht="14.25" customHeight="1">
      <c r="G817" s="55"/>
    </row>
    <row r="818" ht="14.25" customHeight="1">
      <c r="G818" s="55"/>
    </row>
    <row r="819" ht="14.25" customHeight="1">
      <c r="G819" s="55"/>
    </row>
    <row r="820" ht="14.25" customHeight="1">
      <c r="G820" s="55"/>
    </row>
    <row r="821" ht="14.25" customHeight="1">
      <c r="G821" s="55"/>
    </row>
    <row r="822" ht="14.25" customHeight="1">
      <c r="G822" s="55"/>
    </row>
    <row r="823" ht="14.25" customHeight="1">
      <c r="G823" s="55"/>
    </row>
    <row r="824" ht="14.25" customHeight="1">
      <c r="G824" s="55"/>
    </row>
    <row r="825" ht="14.25" customHeight="1">
      <c r="G825" s="55"/>
    </row>
    <row r="826" ht="14.25" customHeight="1">
      <c r="G826" s="55"/>
    </row>
    <row r="827" ht="14.25" customHeight="1">
      <c r="G827" s="55"/>
    </row>
    <row r="828" ht="14.25" customHeight="1">
      <c r="G828" s="55"/>
    </row>
    <row r="829" ht="14.25" customHeight="1">
      <c r="G829" s="55"/>
    </row>
    <row r="830" ht="14.25" customHeight="1">
      <c r="G830" s="55"/>
    </row>
    <row r="831" ht="14.25" customHeight="1">
      <c r="G831" s="55"/>
    </row>
    <row r="832" ht="14.25" customHeight="1">
      <c r="G832" s="55"/>
    </row>
    <row r="833" ht="14.25" customHeight="1">
      <c r="G833" s="55"/>
    </row>
    <row r="834" ht="14.25" customHeight="1">
      <c r="G834" s="55"/>
    </row>
    <row r="835" ht="14.25" customHeight="1">
      <c r="G835" s="55"/>
    </row>
    <row r="836" ht="14.25" customHeight="1">
      <c r="G836" s="55"/>
    </row>
    <row r="837" ht="14.25" customHeight="1">
      <c r="G837" s="55"/>
    </row>
    <row r="838" ht="14.25" customHeight="1">
      <c r="G838" s="55"/>
    </row>
    <row r="839" ht="14.25" customHeight="1">
      <c r="G839" s="55"/>
    </row>
    <row r="840" ht="14.25" customHeight="1">
      <c r="G840" s="55"/>
    </row>
    <row r="841" ht="14.25" customHeight="1">
      <c r="G841" s="55"/>
    </row>
    <row r="842" ht="14.25" customHeight="1">
      <c r="G842" s="55"/>
    </row>
    <row r="843" ht="14.25" customHeight="1">
      <c r="G843" s="55"/>
    </row>
    <row r="844" ht="14.25" customHeight="1">
      <c r="G844" s="55"/>
    </row>
    <row r="845" ht="14.25" customHeight="1">
      <c r="G845" s="55"/>
    </row>
    <row r="846" ht="14.25" customHeight="1">
      <c r="G846" s="55"/>
    </row>
    <row r="847" ht="14.25" customHeight="1">
      <c r="G847" s="55"/>
    </row>
    <row r="848" ht="14.25" customHeight="1">
      <c r="G848" s="55"/>
    </row>
    <row r="849" ht="14.25" customHeight="1">
      <c r="G849" s="55"/>
    </row>
    <row r="850" ht="14.25" customHeight="1">
      <c r="G850" s="55"/>
    </row>
    <row r="851" ht="14.25" customHeight="1">
      <c r="G851" s="55"/>
    </row>
    <row r="852" ht="14.25" customHeight="1">
      <c r="G852" s="55"/>
    </row>
    <row r="853" ht="14.25" customHeight="1">
      <c r="G853" s="55"/>
    </row>
    <row r="854" ht="14.25" customHeight="1">
      <c r="G854" s="55"/>
    </row>
    <row r="855" ht="14.25" customHeight="1">
      <c r="G855" s="55"/>
    </row>
    <row r="856" ht="14.25" customHeight="1">
      <c r="G856" s="55"/>
    </row>
    <row r="857" ht="14.25" customHeight="1">
      <c r="G857" s="55"/>
    </row>
    <row r="858" ht="14.25" customHeight="1">
      <c r="G858" s="55"/>
    </row>
    <row r="859" ht="14.25" customHeight="1">
      <c r="G859" s="55"/>
    </row>
    <row r="860" ht="14.25" customHeight="1">
      <c r="G860" s="55"/>
    </row>
    <row r="861" ht="14.25" customHeight="1">
      <c r="G861" s="55"/>
    </row>
    <row r="862" ht="14.25" customHeight="1">
      <c r="G862" s="55"/>
    </row>
    <row r="863" ht="14.25" customHeight="1">
      <c r="G863" s="55"/>
    </row>
    <row r="864" ht="14.25" customHeight="1">
      <c r="G864" s="55"/>
    </row>
    <row r="865" ht="14.25" customHeight="1">
      <c r="G865" s="55"/>
    </row>
    <row r="866" ht="14.25" customHeight="1">
      <c r="G866" s="55"/>
    </row>
    <row r="867" ht="14.25" customHeight="1">
      <c r="G867" s="55"/>
    </row>
    <row r="868" ht="14.25" customHeight="1">
      <c r="G868" s="55"/>
    </row>
    <row r="869" ht="14.25" customHeight="1">
      <c r="G869" s="55"/>
    </row>
    <row r="870" ht="14.25" customHeight="1">
      <c r="G870" s="55"/>
    </row>
    <row r="871" ht="14.25" customHeight="1">
      <c r="G871" s="55"/>
    </row>
    <row r="872" ht="14.25" customHeight="1">
      <c r="G872" s="55"/>
    </row>
    <row r="873" ht="14.25" customHeight="1">
      <c r="G873" s="55"/>
    </row>
    <row r="874" ht="14.25" customHeight="1">
      <c r="G874" s="55"/>
    </row>
    <row r="875" ht="14.25" customHeight="1">
      <c r="G875" s="55"/>
    </row>
    <row r="876" ht="14.25" customHeight="1">
      <c r="G876" s="55"/>
    </row>
    <row r="877" ht="14.25" customHeight="1">
      <c r="G877" s="55"/>
    </row>
    <row r="878" ht="14.25" customHeight="1">
      <c r="G878" s="55"/>
    </row>
    <row r="879" ht="14.25" customHeight="1">
      <c r="G879" s="55"/>
    </row>
    <row r="880" ht="14.25" customHeight="1">
      <c r="G880" s="55"/>
    </row>
    <row r="881" ht="14.25" customHeight="1">
      <c r="G881" s="55"/>
    </row>
    <row r="882" ht="14.25" customHeight="1">
      <c r="G882" s="55"/>
    </row>
    <row r="883" ht="14.25" customHeight="1">
      <c r="G883" s="55"/>
    </row>
    <row r="884" ht="14.25" customHeight="1">
      <c r="G884" s="55"/>
    </row>
    <row r="885" ht="14.25" customHeight="1">
      <c r="G885" s="55"/>
    </row>
    <row r="886" ht="14.25" customHeight="1">
      <c r="G886" s="55"/>
    </row>
    <row r="887" ht="14.25" customHeight="1">
      <c r="G887" s="55"/>
    </row>
    <row r="888" ht="14.25" customHeight="1">
      <c r="G888" s="55"/>
    </row>
    <row r="889" ht="14.25" customHeight="1">
      <c r="G889" s="55"/>
    </row>
    <row r="890" ht="14.25" customHeight="1">
      <c r="G890" s="55"/>
    </row>
    <row r="891" ht="14.25" customHeight="1">
      <c r="G891" s="55"/>
    </row>
    <row r="892" ht="14.25" customHeight="1">
      <c r="G892" s="55"/>
    </row>
    <row r="893" ht="14.25" customHeight="1">
      <c r="G893" s="55"/>
    </row>
    <row r="894" ht="14.25" customHeight="1">
      <c r="G894" s="55"/>
    </row>
    <row r="895" ht="14.25" customHeight="1">
      <c r="G895" s="55"/>
    </row>
    <row r="896" ht="14.25" customHeight="1">
      <c r="G896" s="55"/>
    </row>
    <row r="897" ht="14.25" customHeight="1">
      <c r="G897" s="55"/>
    </row>
    <row r="898" ht="14.25" customHeight="1">
      <c r="G898" s="55"/>
    </row>
    <row r="899" ht="14.25" customHeight="1">
      <c r="G899" s="55"/>
    </row>
    <row r="900" ht="14.25" customHeight="1">
      <c r="G900" s="55"/>
    </row>
    <row r="901" ht="14.25" customHeight="1">
      <c r="G901" s="55"/>
    </row>
    <row r="902" ht="14.25" customHeight="1">
      <c r="G902" s="55"/>
    </row>
    <row r="903" ht="14.25" customHeight="1">
      <c r="G903" s="55"/>
    </row>
    <row r="904" ht="14.25" customHeight="1">
      <c r="G904" s="55"/>
    </row>
    <row r="905" ht="14.25" customHeight="1">
      <c r="G905" s="55"/>
    </row>
    <row r="906" ht="14.25" customHeight="1">
      <c r="G906" s="55"/>
    </row>
  </sheetData>
  <mergeCells count="5">
    <mergeCell ref="F8:G8"/>
    <mergeCell ref="F10:G10"/>
    <mergeCell ref="B12:B15"/>
    <mergeCell ref="B18:B21"/>
    <mergeCell ref="B23:B24"/>
  </mergeCells>
  <conditionalFormatting sqref="C1">
    <cfRule type="notContainsBlanks" dxfId="8" priority="1">
      <formula>LEN(TRIM(C1))&gt;0</formula>
    </cfRule>
  </conditionalFormatting>
  <dataValidations>
    <dataValidation type="list" allowBlank="1" sqref="C40">
      <formula1>"Gross Margin,Net Margin"</formula1>
    </dataValidation>
    <dataValidation type="list" allowBlank="1" sqref="C3">
      <formula1>"Nómina,Prestación de Servicios,Deel/Ontop"</formula1>
    </dataValidation>
    <dataValidation type="list" allowBlank="1" showErrorMessage="1" sqref="C5">
      <formula1>"Cold Calling,Mercadeo,Directo,Network - Cold Calling,Referido Imagine"</formula1>
    </dataValidation>
    <dataValidation type="list" allowBlank="1" showErrorMessage="1" sqref="D27:D36">
      <formula1>"Nómina,P. Servicios"</formula1>
    </dataValidation>
    <dataValidation type="list" allowBlank="1" sqref="B27:B36">
      <formula1>'Parámetros'!$A$2:$A$113</formula1>
    </dataValidation>
    <dataValidation type="list" allowBlank="1" sqref="C2">
      <formula1>'Parámetros'!$A$118:$A$123</formula1>
    </dataValidation>
    <dataValidation type="list" allowBlank="1" sqref="C6">
      <formula1>"Perfil Sr.,Perfil Semi senior,Perfil Jr."</formula1>
    </dataValidation>
    <dataValidation type="list" allowBlank="1" sqref="D40">
      <formula1>"COP,USD"</formula1>
    </dataValidation>
  </dataValidations>
  <printOptions/>
  <pageMargins bottom="0.75" footer="0.0" header="0.0" left="0.7" right="0.7" top="0.75"/>
  <pageSetup orientation="portrait"/>
  <drawing r:id="rId1"/>
  <tableParts count="3">
    <tablePart r:id="rId5"/>
    <tablePart r:id="rId6"/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4.14"/>
    <col customWidth="1" min="2" max="2" width="38.43"/>
    <col customWidth="1" min="3" max="3" width="23.14"/>
    <col customWidth="1" min="4" max="4" width="16.29"/>
    <col customWidth="1" min="5" max="5" width="14.86"/>
    <col customWidth="1" min="6" max="6" width="18.0"/>
    <col customWidth="1" min="7" max="7" width="16.29"/>
    <col customWidth="1" min="8" max="8" width="15.14"/>
    <col customWidth="1" min="9" max="9" width="12.0"/>
    <col customWidth="1" min="10" max="10" width="26.57"/>
    <col customWidth="1" min="11" max="11" width="14.86"/>
    <col customWidth="1" min="12" max="12" width="14.71"/>
    <col customWidth="1" min="13" max="13" width="17.29"/>
    <col customWidth="1" min="14" max="14" width="15.57"/>
    <col customWidth="1" min="15" max="15" width="10.71"/>
    <col customWidth="1" min="16" max="16" width="23.14"/>
    <col customWidth="1" min="17" max="17" width="17.57"/>
    <col customWidth="1" min="18" max="18" width="15.71"/>
    <col customWidth="1" min="19" max="19" width="18.86"/>
    <col customWidth="1" hidden="1" min="20" max="20" width="13.71"/>
    <col customWidth="1" hidden="1" min="21" max="21" width="13.43"/>
    <col customWidth="1" hidden="1" min="22" max="32" width="10.71"/>
  </cols>
  <sheetData>
    <row r="1" ht="8.25" customHeight="1">
      <c r="A1" s="200"/>
      <c r="B1" s="200"/>
      <c r="C1" s="200"/>
      <c r="D1" s="200"/>
      <c r="E1" s="200"/>
      <c r="F1" s="200"/>
      <c r="G1" s="201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</row>
    <row r="2" ht="15.75" customHeight="1">
      <c r="A2" s="200"/>
      <c r="B2" s="202" t="s">
        <v>150</v>
      </c>
      <c r="C2" s="203" t="s">
        <v>93</v>
      </c>
      <c r="D2" s="204"/>
      <c r="E2" s="200"/>
      <c r="F2" s="200"/>
      <c r="G2" s="205"/>
      <c r="H2" s="206"/>
      <c r="I2" s="206"/>
      <c r="J2" s="207"/>
      <c r="K2" s="206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0"/>
      <c r="AD2" s="200"/>
      <c r="AE2" s="200"/>
      <c r="AF2" s="200"/>
    </row>
    <row r="3" ht="15.75" customHeight="1">
      <c r="A3" s="200"/>
      <c r="B3" s="202" t="s">
        <v>25</v>
      </c>
      <c r="C3" s="208" t="s">
        <v>26</v>
      </c>
      <c r="D3" s="16"/>
      <c r="E3" s="200"/>
      <c r="F3" s="209"/>
      <c r="G3" s="210"/>
      <c r="H3" s="200"/>
      <c r="I3" s="200"/>
      <c r="J3" s="211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200"/>
    </row>
    <row r="4" ht="15.75" customHeight="1">
      <c r="A4" s="200"/>
      <c r="B4" s="202" t="s">
        <v>152</v>
      </c>
      <c r="C4" s="212">
        <f>Ifs(C5="Referido Imagine", VLOOKUP(C2,'Parámetros'!$A$118:$B$124,2,0)*IF(C3="Nómina",1.38522,IF(C3="Prestación de Servicios",1,102%))/2,C5="Network - Cold Calling",VLOOKUP(C2,'Parámetros'!$A$118:$B$124,2,0)*IF(C3="Nómina",1.38522,IF(C3="Prestación de Servicios",1,102%))-2%*138.352222%,C5="Mercadeo",VLOOKUP(C2,'Parámetros'!$A$118:$B$124,2,0)*IF(C3="Nómina",1.38522,IF(C3="Prestación de Servicios",1,102%)),C5="Cold Calling",VLOOKUP(C2,'Parámetros'!$A$118:$B$124,2,0)*IF(C3="Nómina",1.38522,IF(C3="Prestación de Servicios",1,102%)),C5="Directo",VLOOKUP(C2,'Parámetros'!$A$118:$B$124,2,0)*IF(C3="Nómina",1.38522,IF(C3="Prestación de Servicios",1,102%)))*IF(C2="Servidores ",0,1)</f>
        <v>0.085</v>
      </c>
      <c r="D4" s="16"/>
      <c r="E4" s="200"/>
      <c r="H4" s="200"/>
      <c r="I4" s="200"/>
      <c r="J4" s="211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</row>
    <row r="5" ht="15.75" customHeight="1">
      <c r="A5" s="200"/>
      <c r="B5" s="213" t="s">
        <v>153</v>
      </c>
      <c r="C5" s="214" t="s">
        <v>133</v>
      </c>
      <c r="D5" s="16"/>
      <c r="F5" s="90"/>
      <c r="G5" s="215"/>
      <c r="I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</row>
    <row r="6" ht="15.75" customHeight="1">
      <c r="A6" s="200"/>
      <c r="B6" s="202" t="s">
        <v>154</v>
      </c>
      <c r="C6" s="214" t="s">
        <v>170</v>
      </c>
      <c r="D6" s="216"/>
      <c r="F6" s="217"/>
      <c r="G6" s="215"/>
      <c r="I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0"/>
      <c r="AA6" s="200"/>
      <c r="AB6" s="200"/>
      <c r="AC6" s="200"/>
      <c r="AD6" s="200"/>
      <c r="AE6" s="200"/>
      <c r="AF6" s="200"/>
    </row>
    <row r="7" ht="15.75" customHeight="1">
      <c r="A7" s="200"/>
      <c r="B7" s="202" t="s">
        <v>28</v>
      </c>
      <c r="C7" s="218">
        <v>0.0</v>
      </c>
      <c r="D7" s="216"/>
      <c r="F7" s="219" t="s">
        <v>155</v>
      </c>
      <c r="G7" s="220">
        <f>VLOOKUP($C$2,'Parámetros'!$A$118:$D$124,3,0)</f>
        <v>0.3</v>
      </c>
      <c r="I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  <c r="AA7" s="200"/>
      <c r="AB7" s="200"/>
      <c r="AC7" s="200"/>
      <c r="AD7" s="200"/>
      <c r="AE7" s="200"/>
      <c r="AF7" s="200"/>
    </row>
    <row r="8" ht="15.75" customHeight="1">
      <c r="A8" s="200"/>
      <c r="B8" s="202" t="s">
        <v>156</v>
      </c>
      <c r="C8" s="218">
        <v>0.0</v>
      </c>
      <c r="D8" s="204"/>
      <c r="F8" s="221" t="str">
        <f>IF(D13&gt;=G7,"Dentro del margen","¡Por debajo del margen!")</f>
        <v>Dentro del margen</v>
      </c>
      <c r="I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</row>
    <row r="9" ht="15.75" customHeight="1">
      <c r="A9" s="200"/>
      <c r="B9" s="202" t="s">
        <v>157</v>
      </c>
      <c r="C9" s="222" t="s">
        <v>171</v>
      </c>
      <c r="D9" s="204"/>
      <c r="E9" s="200"/>
      <c r="H9" s="200"/>
      <c r="I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200"/>
      <c r="AC9" s="200"/>
      <c r="AD9" s="200"/>
      <c r="AE9" s="200"/>
      <c r="AF9" s="200"/>
    </row>
    <row r="10" ht="15.75" customHeight="1">
      <c r="A10" s="200"/>
      <c r="B10" s="202" t="s">
        <v>158</v>
      </c>
      <c r="C10" s="208">
        <v>6.0</v>
      </c>
      <c r="D10" s="16"/>
      <c r="E10" s="200"/>
      <c r="H10" s="201"/>
      <c r="I10" s="223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</row>
    <row r="11" ht="15.75" customHeight="1">
      <c r="A11" s="200"/>
      <c r="B11" s="224"/>
      <c r="C11" s="16"/>
      <c r="D11" s="16"/>
      <c r="E11" s="200"/>
      <c r="F11" s="202" t="s">
        <v>44</v>
      </c>
      <c r="G11" s="225" t="s">
        <v>45</v>
      </c>
      <c r="H11" s="223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</row>
    <row r="12" ht="18.75" customHeight="1">
      <c r="B12" s="226" t="s">
        <v>7</v>
      </c>
      <c r="C12" s="17" t="s">
        <v>6</v>
      </c>
      <c r="D12" s="227">
        <f>F12*C4+IFS(C5="Cold Calling",2%*138.3522%,C5="Mercadeo",2%*101%,C5="Network - Cold Calling",2%*138.3522%,C5="Referido Imagine",5%*138.3522%,C5="Directo",0)*F12+ifs(AND(C6="Perfil Jr.",C2="Network"),200000,AND(C6="Perfil Sr.",C2="Network"),350000,AND(C2="Network",C6="Perfil Semi Senior"), 600000,C2="Proyecto",1,C2="Equipo dedicado",1,C2="Servidores",1,C2="Enterprise",1,C2="Descubrimiento",1)</f>
        <v>8459500.416</v>
      </c>
      <c r="E12" s="228" t="s">
        <v>159</v>
      </c>
      <c r="F12" s="229">
        <f>((C61+C57+C59)/((1-D13-'Parámetros'!L8*C7)))*IF(C8=1,102.4%,1)</f>
        <v>74710080</v>
      </c>
      <c r="G12" s="230">
        <f>F12/'Parámetros'!$L$3</f>
        <v>21045.09296</v>
      </c>
      <c r="H12" s="211"/>
      <c r="M12" s="23"/>
      <c r="N12" s="24"/>
      <c r="O12" s="24"/>
    </row>
    <row r="13" ht="18.75" customHeight="1">
      <c r="B13" s="27"/>
      <c r="C13" s="17" t="s">
        <v>9</v>
      </c>
      <c r="D13" s="231">
        <v>0.3</v>
      </c>
      <c r="E13" s="228" t="s">
        <v>160</v>
      </c>
      <c r="F13" s="229">
        <f>F12/C10</f>
        <v>12451680</v>
      </c>
      <c r="G13" s="230">
        <f>F13/'Parámetros'!$L$3</f>
        <v>3507.515493</v>
      </c>
      <c r="J13" s="290"/>
      <c r="M13" s="23"/>
      <c r="N13" s="24"/>
      <c r="O13" s="24"/>
    </row>
    <row r="14" ht="18.75" customHeight="1">
      <c r="B14" s="27"/>
      <c r="C14" s="17" t="s">
        <v>15</v>
      </c>
      <c r="D14" s="227">
        <f>F12*'Parámetros'!L5</f>
        <v>515499.552</v>
      </c>
      <c r="E14" s="228" t="s">
        <v>161</v>
      </c>
      <c r="F14" s="229">
        <f>F12/SUM(D43:D52)/C10</f>
        <v>69176</v>
      </c>
      <c r="G14" s="230">
        <f>G12/SUM(D43:D52)/C10</f>
        <v>19.48619718</v>
      </c>
      <c r="L14" s="22"/>
      <c r="O14" s="28"/>
      <c r="P14" s="28"/>
      <c r="Q14" s="28"/>
    </row>
    <row r="15" ht="14.25" customHeight="1">
      <c r="B15" s="43"/>
      <c r="C15" s="17" t="s">
        <v>18</v>
      </c>
      <c r="D15" s="233">
        <f>(F12-C62-D14-D12-C7*'Parámetros'!L8*F12-IF(C8=1,2.4%,0)*F12)/F12</f>
        <v>0.1366979183</v>
      </c>
      <c r="F15" s="23"/>
      <c r="G15" s="55"/>
      <c r="L15" s="32"/>
      <c r="M15" s="33"/>
      <c r="O15" s="28"/>
      <c r="P15" s="28"/>
      <c r="Q15" s="28"/>
    </row>
    <row r="16" ht="14.25" customHeight="1">
      <c r="D16" s="235"/>
      <c r="F16" s="236"/>
      <c r="G16" s="55"/>
      <c r="H16" s="237"/>
      <c r="I16" s="237"/>
      <c r="J16" s="237"/>
      <c r="L16" s="32"/>
      <c r="M16" s="37"/>
      <c r="N16" s="38"/>
      <c r="O16" s="39"/>
    </row>
    <row r="17" ht="14.25" customHeight="1">
      <c r="F17" s="236"/>
      <c r="G17" s="55"/>
      <c r="L17" s="22"/>
    </row>
    <row r="18" ht="15.75" customHeight="1">
      <c r="B18" s="226" t="s">
        <v>22</v>
      </c>
      <c r="C18" s="17" t="s">
        <v>6</v>
      </c>
      <c r="D18" s="227">
        <f>F18*C4+IFS(C5="Cold Calling",2%*138.3522%,C5="Mercadeo",2%*101%,C5="Network - Cold Calling",2%*138.3522%,C5="Referido Imagine",5%*138.3522%,C5="Directo",0)*F18</f>
        <v>8490991.53</v>
      </c>
      <c r="E18" s="228" t="s">
        <v>159</v>
      </c>
      <c r="F18" s="229">
        <f>+C62/((1-IFS(C5="Cold Calling",2%*138.3522%,C5="Mercadeo",2%*101%,C5="Network - Cold Calling",2%*138.3522%,C5="Referido Imagine",5%*138.3522%,C5="Directo",0)-C4-D19-'Parámetros'!L5-C7*'Parámetros'!L8))*IF(C8=1,102.4%,1)</f>
        <v>80712847.25</v>
      </c>
      <c r="G18" s="230">
        <f>F18/'Parámetros'!L3</f>
        <v>22736.01331</v>
      </c>
      <c r="L18" s="22"/>
    </row>
    <row r="19" ht="16.5" customHeight="1">
      <c r="B19" s="27"/>
      <c r="C19" s="17" t="s">
        <v>18</v>
      </c>
      <c r="D19" s="231">
        <v>0.2</v>
      </c>
      <c r="E19" s="228" t="s">
        <v>160</v>
      </c>
      <c r="F19" s="229">
        <f>F18/C10</f>
        <v>13452141.21</v>
      </c>
      <c r="G19" s="230">
        <f>G18/C10</f>
        <v>3789.335551</v>
      </c>
      <c r="L19" s="32"/>
      <c r="M19" s="33"/>
    </row>
    <row r="20" ht="17.25" customHeight="1">
      <c r="B20" s="27"/>
      <c r="C20" s="17" t="s">
        <v>15</v>
      </c>
      <c r="D20" s="227">
        <f>F18*'Parámetros'!L5</f>
        <v>556918.646</v>
      </c>
      <c r="E20" s="228" t="s">
        <v>161</v>
      </c>
      <c r="F20" s="229">
        <f>F18/SUM(D43:D52)/C10</f>
        <v>74734.11782</v>
      </c>
      <c r="G20" s="230">
        <f>G18/SUM(D43:D52)/C10</f>
        <v>21.05186417</v>
      </c>
      <c r="L20" s="22"/>
      <c r="M20" s="55"/>
    </row>
    <row r="21" ht="14.25" customHeight="1">
      <c r="B21" s="43"/>
      <c r="C21" s="17" t="s">
        <v>9</v>
      </c>
      <c r="D21" s="240">
        <f>(((F18-C57-C59-C61-C7*'Parámetros'!L8*F18)-IF(C8=1,2.4%,0)*F18)/F18)</f>
        <v>0.3520603252</v>
      </c>
      <c r="E21" s="241"/>
      <c r="G21" s="55"/>
    </row>
    <row r="22" ht="14.25" customHeight="1">
      <c r="D22" s="55"/>
      <c r="E22" s="23"/>
      <c r="F22" s="242"/>
      <c r="G22" s="55"/>
    </row>
    <row r="23" ht="14.25" customHeight="1">
      <c r="B23" s="243" t="str">
        <f>'Parámetros'!B149</f>
        <v>Considerar como mínimo por cada Dev: 
 PM:33%, QA:20%, Diseño:10%</v>
      </c>
      <c r="C23" s="244"/>
      <c r="G23" s="55"/>
      <c r="M23" s="245"/>
    </row>
    <row r="24" ht="15.75" customHeight="1">
      <c r="B24" s="246"/>
      <c r="C24" s="244"/>
      <c r="G24" s="55"/>
    </row>
    <row r="25" ht="15.75" customHeight="1">
      <c r="E25" s="247">
        <f>SUM(E27:E34)</f>
        <v>1</v>
      </c>
      <c r="G25" s="248"/>
    </row>
    <row r="26" ht="14.25" customHeight="1">
      <c r="B26" s="249" t="s">
        <v>31</v>
      </c>
      <c r="C26" s="249" t="s">
        <v>32</v>
      </c>
      <c r="D26" s="249" t="s">
        <v>33</v>
      </c>
      <c r="E26" s="250" t="s">
        <v>35</v>
      </c>
      <c r="F26" s="250" t="s">
        <v>164</v>
      </c>
      <c r="G26" s="250" t="s">
        <v>165</v>
      </c>
      <c r="H26" s="250" t="s">
        <v>37</v>
      </c>
      <c r="I26" s="146"/>
      <c r="J26" s="146"/>
      <c r="L26" s="67"/>
    </row>
    <row r="27" ht="14.25" customHeight="1">
      <c r="A27" s="251">
        <f>IFERROR(__xludf.DUMMYFUNCTION("COUNTIF(SPLIT(B27,"" ""),""Developer"")"),0.0)</f>
        <v>0</v>
      </c>
      <c r="B27" s="252" t="s">
        <v>172</v>
      </c>
      <c r="C27" s="68" t="str">
        <f>IFERROR(VLOOKUP(B27,'Parámetros'!A$1:B113,2, FALSE),"")</f>
        <v/>
      </c>
      <c r="D27" s="208" t="s">
        <v>41</v>
      </c>
      <c r="E27" s="253"/>
      <c r="F27" s="68">
        <f t="shared" ref="F27:F36" si="1">+IFERROR(IF(D27="Nómina",C27*1.38352,C27),"")*E27*105%</f>
        <v>0</v>
      </c>
      <c r="G27" s="68">
        <f t="shared" ref="G27:G36" si="2">F27*C$10</f>
        <v>0</v>
      </c>
      <c r="H27" s="254">
        <f>F27/(AVERAGE('Parámetros'!$F$5:$F$6)+$F$37)</f>
        <v>0</v>
      </c>
      <c r="I27" s="146"/>
      <c r="J27" s="146"/>
      <c r="L27" s="73"/>
    </row>
    <row r="28" ht="14.25" customHeight="1">
      <c r="A28" s="251">
        <f>IFERROR(__xludf.DUMMYFUNCTION("COUNTIF(SPLIT(B28,"" ""),""Developer"")"),1.0)</f>
        <v>1</v>
      </c>
      <c r="B28" s="255" t="s">
        <v>82</v>
      </c>
      <c r="C28" s="68">
        <v>6000000.0</v>
      </c>
      <c r="D28" s="208" t="s">
        <v>41</v>
      </c>
      <c r="E28" s="256">
        <v>1.0</v>
      </c>
      <c r="F28" s="68">
        <f t="shared" si="1"/>
        <v>8716176</v>
      </c>
      <c r="G28" s="68">
        <f t="shared" si="2"/>
        <v>52297056</v>
      </c>
      <c r="H28" s="254">
        <f>G28/(AVERAGE('Parámetros'!$F$5:$F$6)+$F$37)</f>
        <v>0.1526150771</v>
      </c>
      <c r="I28" s="146"/>
      <c r="J28" s="146"/>
      <c r="L28" s="73"/>
      <c r="R28" s="74"/>
    </row>
    <row r="29" ht="14.25" customHeight="1">
      <c r="A29" s="251">
        <f>IFERROR(__xludf.DUMMYFUNCTION("COUNTIF(SPLIT(B29,"" ""),""Developer"")"),0.0)</f>
        <v>0</v>
      </c>
      <c r="B29" s="255" t="s">
        <v>74</v>
      </c>
      <c r="C29" s="68">
        <f>IFERROR(VLOOKUP(B29,'Parámetros'!A$1:B115,2, FALSE),"")</f>
        <v>3000000</v>
      </c>
      <c r="D29" s="208" t="s">
        <v>41</v>
      </c>
      <c r="E29" s="256"/>
      <c r="F29" s="68">
        <f t="shared" si="1"/>
        <v>0</v>
      </c>
      <c r="G29" s="68">
        <f t="shared" si="2"/>
        <v>0</v>
      </c>
      <c r="H29" s="254">
        <f>G29/(AVERAGE('Parámetros'!$F$5:$F$6)+$F$37)</f>
        <v>0</v>
      </c>
      <c r="I29" s="146"/>
      <c r="J29" s="146"/>
      <c r="L29" s="73"/>
    </row>
    <row r="30" ht="14.25" customHeight="1">
      <c r="A30" s="251">
        <f>IFERROR(__xludf.DUMMYFUNCTION("COUNTIF(SPLIT(B30,"" ""),""Developer"")"),0.0)</f>
        <v>0</v>
      </c>
      <c r="B30" s="255" t="s">
        <v>173</v>
      </c>
      <c r="C30" s="68" t="str">
        <f>IFERROR(VLOOKUP(B30,'Parámetros'!A$1:B116,2, FALSE),"")</f>
        <v/>
      </c>
      <c r="D30" s="208" t="s">
        <v>41</v>
      </c>
      <c r="E30" s="257"/>
      <c r="F30" s="68">
        <f t="shared" si="1"/>
        <v>0</v>
      </c>
      <c r="G30" s="68">
        <f t="shared" si="2"/>
        <v>0</v>
      </c>
      <c r="H30" s="254">
        <f>G30/(AVERAGE('Parámetros'!$F$5:$F$6)+$F$37)</f>
        <v>0</v>
      </c>
      <c r="I30" s="146"/>
      <c r="J30" s="146"/>
      <c r="L30" s="73"/>
    </row>
    <row r="31" ht="14.25" customHeight="1">
      <c r="A31" s="251">
        <f>IFERROR(__xludf.DUMMYFUNCTION("COUNTIF(SPLIT(B31,"" ""),""Developer"")"),0.0)</f>
        <v>0</v>
      </c>
      <c r="B31" s="252"/>
      <c r="C31" s="68" t="str">
        <f>IFERROR(VLOOKUP(B31,'Parámetros'!A$1:B117,2, FALSE),"")</f>
        <v/>
      </c>
      <c r="D31" s="208" t="s">
        <v>41</v>
      </c>
      <c r="E31" s="256"/>
      <c r="F31" s="68">
        <f t="shared" si="1"/>
        <v>0</v>
      </c>
      <c r="G31" s="68">
        <f t="shared" si="2"/>
        <v>0</v>
      </c>
      <c r="H31" s="254">
        <f>G31/(AVERAGE('Parámetros'!$F$5:$F$6)+$F$37)</f>
        <v>0</v>
      </c>
      <c r="I31" s="146"/>
      <c r="J31" s="146"/>
      <c r="L31" s="73"/>
    </row>
    <row r="32" ht="14.25" customHeight="1">
      <c r="A32" s="251">
        <f>IFERROR(__xludf.DUMMYFUNCTION("COUNTIF(SPLIT(B32,"" ""),""Developer"")"),0.0)</f>
        <v>0</v>
      </c>
      <c r="B32" s="255"/>
      <c r="C32" s="68" t="str">
        <f>IFERROR(VLOOKUP(B32,'Parámetros'!A$1:B118,2, FALSE),"")</f>
        <v/>
      </c>
      <c r="D32" s="208" t="s">
        <v>41</v>
      </c>
      <c r="E32" s="258"/>
      <c r="F32" s="68">
        <f t="shared" si="1"/>
        <v>0</v>
      </c>
      <c r="G32" s="68">
        <f t="shared" si="2"/>
        <v>0</v>
      </c>
      <c r="H32" s="254">
        <f>G32/(AVERAGE('Parámetros'!$F$5:$F$6)+$F$37)</f>
        <v>0</v>
      </c>
      <c r="I32" s="146"/>
      <c r="J32" s="146"/>
      <c r="K32" s="146"/>
    </row>
    <row r="33" ht="14.25" customHeight="1">
      <c r="A33" s="251">
        <f>IFERROR(__xludf.DUMMYFUNCTION("COUNTIF(SPLIT(B33,"" ""),""Developer"")"),0.0)</f>
        <v>0</v>
      </c>
      <c r="B33" s="255"/>
      <c r="C33" s="68" t="str">
        <f>IFERROR(VLOOKUP(B33,'Parámetros'!A$1:B119,2, FALSE),"")</f>
        <v/>
      </c>
      <c r="D33" s="208" t="s">
        <v>41</v>
      </c>
      <c r="E33" s="258"/>
      <c r="F33" s="68">
        <f t="shared" si="1"/>
        <v>0</v>
      </c>
      <c r="G33" s="68">
        <f t="shared" si="2"/>
        <v>0</v>
      </c>
      <c r="H33" s="254">
        <f>G33/(AVERAGE('Parámetros'!$F$5:$F$6)+$F$37)</f>
        <v>0</v>
      </c>
      <c r="I33" s="146"/>
      <c r="J33" s="146"/>
      <c r="K33" s="146"/>
    </row>
    <row r="34" ht="14.25" customHeight="1">
      <c r="A34" s="251">
        <f>IFERROR(__xludf.DUMMYFUNCTION("COUNTIF(SPLIT(B34,"" ""),""Developer"")"),0.0)</f>
        <v>0</v>
      </c>
      <c r="B34" s="255"/>
      <c r="C34" s="68" t="str">
        <f>IFERROR(VLOOKUP(B34,'Parámetros'!A$1:B120,2, FALSE),"")</f>
        <v/>
      </c>
      <c r="D34" s="208" t="s">
        <v>41</v>
      </c>
      <c r="E34" s="258"/>
      <c r="F34" s="68">
        <f t="shared" si="1"/>
        <v>0</v>
      </c>
      <c r="G34" s="68">
        <f t="shared" si="2"/>
        <v>0</v>
      </c>
      <c r="H34" s="254">
        <f>G34/(AVERAGE('Parámetros'!$F$5:$F$6)+$F$37)</f>
        <v>0</v>
      </c>
      <c r="I34" s="146"/>
      <c r="J34" s="146"/>
      <c r="K34" s="146"/>
    </row>
    <row r="35" ht="14.25" customHeight="1">
      <c r="A35" s="251"/>
      <c r="B35" s="252"/>
      <c r="C35" s="68" t="str">
        <f>IFERROR(VLOOKUP(B35,'Parámetros'!A$1:B121,2, FALSE),"")</f>
        <v/>
      </c>
      <c r="D35" s="208" t="s">
        <v>41</v>
      </c>
      <c r="E35" s="258"/>
      <c r="F35" s="68">
        <f t="shared" si="1"/>
        <v>0</v>
      </c>
      <c r="G35" s="68">
        <f t="shared" si="2"/>
        <v>0</v>
      </c>
      <c r="H35" s="254">
        <f>G35/(AVERAGE('Parámetros'!$F$5:$F$6)+$F$37)</f>
        <v>0</v>
      </c>
      <c r="I35" s="146"/>
      <c r="J35" s="146"/>
      <c r="K35" s="146"/>
    </row>
    <row r="36" ht="14.25" customHeight="1">
      <c r="A36" s="251"/>
      <c r="B36" s="255"/>
      <c r="C36" s="68" t="str">
        <f>IFERROR(VLOOKUP(B36,'Parámetros'!A$1:B122,2, FALSE),"")</f>
        <v/>
      </c>
      <c r="D36" s="208" t="s">
        <v>41</v>
      </c>
      <c r="E36" s="258"/>
      <c r="F36" s="68">
        <f t="shared" si="1"/>
        <v>0</v>
      </c>
      <c r="G36" s="68">
        <f t="shared" si="2"/>
        <v>0</v>
      </c>
      <c r="H36" s="254">
        <f>G36/(AVERAGE('Parámetros'!$F$5:$F$6)+$F$37)</f>
        <v>0</v>
      </c>
      <c r="I36" s="146"/>
      <c r="J36" s="146"/>
      <c r="K36" s="146"/>
    </row>
    <row r="37" ht="14.25" customHeight="1">
      <c r="F37" s="259">
        <f t="shared" ref="F37:H37" si="3">SUM(F27:F36)</f>
        <v>8716176</v>
      </c>
      <c r="G37" s="259">
        <f t="shared" si="3"/>
        <v>52297056</v>
      </c>
      <c r="H37" s="260">
        <f t="shared" si="3"/>
        <v>0.1526150771</v>
      </c>
      <c r="M37" s="90"/>
      <c r="N37" s="91"/>
      <c r="O37" s="92"/>
      <c r="P37" s="93"/>
      <c r="Q37" s="94"/>
    </row>
    <row r="38" ht="14.25" customHeight="1">
      <c r="G38" s="55"/>
    </row>
    <row r="39" ht="14.25" customHeight="1">
      <c r="G39" s="55"/>
    </row>
    <row r="40" ht="14.25" customHeight="1">
      <c r="C40" s="261" t="s">
        <v>9</v>
      </c>
      <c r="D40" s="261" t="s">
        <v>45</v>
      </c>
      <c r="G40" s="55"/>
    </row>
    <row r="41" ht="14.25" customHeight="1">
      <c r="F41" s="97"/>
      <c r="G41" s="55"/>
    </row>
    <row r="42" ht="14.25" customHeight="1">
      <c r="B42" s="262" t="s">
        <v>31</v>
      </c>
      <c r="C42" s="261" t="s">
        <v>35</v>
      </c>
      <c r="D42" s="291" t="s">
        <v>48</v>
      </c>
      <c r="E42" s="292" t="s">
        <v>50</v>
      </c>
      <c r="F42" s="292" t="s">
        <v>159</v>
      </c>
      <c r="G42" s="55"/>
    </row>
    <row r="43" ht="14.25" customHeight="1">
      <c r="B43" s="264" t="str">
        <f t="shared" ref="B43:B52" si="4">B27</f>
        <v>Project Analyst Senior</v>
      </c>
      <c r="C43" s="265" t="str">
        <f t="shared" ref="C43:C52" si="5">E27</f>
        <v/>
      </c>
      <c r="D43" s="266">
        <f t="shared" ref="D43:D52" si="6">C43*180</f>
        <v>0</v>
      </c>
      <c r="E43" s="267">
        <f>IFERROR((IF($C$40="Gross Margin",F27/$F$37*$F$12,IF($C$40="Net Margin",F27/$F$37*$F$18,"Error")))/D43,"")/IF($D$40="USD",'Parámetros'!$L$3,1)</f>
        <v>0</v>
      </c>
      <c r="F43" s="267">
        <f t="shared" ref="F43:F52" si="7">E43*D43</f>
        <v>0</v>
      </c>
      <c r="G43" s="55"/>
    </row>
    <row r="44" ht="14.25" customHeight="1">
      <c r="B44" s="264" t="str">
        <f t="shared" si="4"/>
        <v>Software Developer Semi Senior Nivel 2</v>
      </c>
      <c r="C44" s="265">
        <f t="shared" si="5"/>
        <v>1</v>
      </c>
      <c r="D44" s="266">
        <f t="shared" si="6"/>
        <v>180</v>
      </c>
      <c r="E44" s="267">
        <f>IFERROR((IF($C$40="Gross Margin",F28/$F$37*$F$12,IF($C$40="Net Margin",F28/$F$37*$F$18,"Error")))/D44,"")/IF($D$40="USD",'Parámetros'!$L$3,1)</f>
        <v>116.9171831</v>
      </c>
      <c r="F44" s="267">
        <f t="shared" si="7"/>
        <v>21045.09296</v>
      </c>
      <c r="G44" s="55"/>
    </row>
    <row r="45" ht="14.25" customHeight="1">
      <c r="B45" s="264" t="str">
        <f t="shared" si="4"/>
        <v>QA Engineer Semi Senior</v>
      </c>
      <c r="C45" s="265" t="str">
        <f t="shared" si="5"/>
        <v/>
      </c>
      <c r="D45" s="266">
        <f t="shared" si="6"/>
        <v>0</v>
      </c>
      <c r="E45" s="267">
        <f>IFERROR((IF($C$40="Gross Margin",F29/$F$37*$F$12,IF($C$40="Net Margin",F29/$F$37*$F$18,"Error")))/D45,"")/IF($D$40="USD",'Parámetros'!$L$3,1)</f>
        <v>0</v>
      </c>
      <c r="F45" s="267">
        <f t="shared" si="7"/>
        <v>0</v>
      </c>
      <c r="G45" s="23"/>
    </row>
    <row r="46" ht="14.25" customHeight="1">
      <c r="B46" s="264" t="str">
        <f t="shared" si="4"/>
        <v>Diseñador Semi Senior</v>
      </c>
      <c r="C46" s="265" t="str">
        <f t="shared" si="5"/>
        <v/>
      </c>
      <c r="D46" s="266">
        <f t="shared" si="6"/>
        <v>0</v>
      </c>
      <c r="E46" s="267">
        <f>IFERROR((IF($C$40="Gross Margin",F30/$F$37*$F$12,IF($C$40="Net Margin",F30/$F$37*$F$18,"Error")))/D46,"")/IF($D$40="USD",'Parámetros'!$L$3,1)</f>
        <v>0</v>
      </c>
      <c r="F46" s="267">
        <f t="shared" si="7"/>
        <v>0</v>
      </c>
      <c r="G46" s="23"/>
    </row>
    <row r="47" ht="14.25" customHeight="1">
      <c r="B47" s="264" t="str">
        <f t="shared" si="4"/>
        <v/>
      </c>
      <c r="C47" s="265" t="str">
        <f t="shared" si="5"/>
        <v/>
      </c>
      <c r="D47" s="266">
        <f t="shared" si="6"/>
        <v>0</v>
      </c>
      <c r="E47" s="267">
        <f>IFERROR((IF($C$40="Gross Margin",F31/$F$37*$F$12,IF($C$40="Net Margin",F31/$F$37*$F$18,"Error")))/D47,"")/IF($D$40="USD",'Parámetros'!$L$3,1)</f>
        <v>0</v>
      </c>
      <c r="F47" s="267">
        <f t="shared" si="7"/>
        <v>0</v>
      </c>
      <c r="G47" s="55"/>
    </row>
    <row r="48" ht="14.25" customHeight="1">
      <c r="B48" s="264" t="str">
        <f t="shared" si="4"/>
        <v/>
      </c>
      <c r="C48" s="265" t="str">
        <f t="shared" si="5"/>
        <v/>
      </c>
      <c r="D48" s="266">
        <f t="shared" si="6"/>
        <v>0</v>
      </c>
      <c r="E48" s="267">
        <f>IFERROR((IF($C$40="Gross Margin",F32/$F$37*$F$12,IF($C$40="Net Margin",F32/$F$37*$F$18,"Error")))/D48,"")/IF($D$40="USD",'Parámetros'!$L$3,1)</f>
        <v>0</v>
      </c>
      <c r="F48" s="267">
        <f t="shared" si="7"/>
        <v>0</v>
      </c>
      <c r="G48" s="55"/>
    </row>
    <row r="49" ht="14.25" customHeight="1">
      <c r="B49" s="264" t="str">
        <f t="shared" si="4"/>
        <v/>
      </c>
      <c r="C49" s="265" t="str">
        <f t="shared" si="5"/>
        <v/>
      </c>
      <c r="D49" s="266">
        <f t="shared" si="6"/>
        <v>0</v>
      </c>
      <c r="E49" s="267">
        <f>IFERROR((IF($C$40="Gross Margin",F33/$F$37*$F$12,IF($C$40="Net Margin",F33/$F$37*$F$18,"Error")))/D49,"")/IF($D$40="USD",'Parámetros'!$L$3,1)</f>
        <v>0</v>
      </c>
      <c r="F49" s="267">
        <f t="shared" si="7"/>
        <v>0</v>
      </c>
      <c r="G49" s="55"/>
    </row>
    <row r="50" ht="14.25" customHeight="1">
      <c r="B50" s="264" t="str">
        <f t="shared" si="4"/>
        <v/>
      </c>
      <c r="C50" s="265" t="str">
        <f t="shared" si="5"/>
        <v/>
      </c>
      <c r="D50" s="266">
        <f t="shared" si="6"/>
        <v>0</v>
      </c>
      <c r="E50" s="267">
        <f>IFERROR((IF($C$40="Gross Margin",F34/$F$37*$F$12,IF($C$40="Net Margin",F34/$F$37*$F$18,"Error")))/D50,"")/IF($D$40="USD",'Parámetros'!$L$3,1)</f>
        <v>0</v>
      </c>
      <c r="F50" s="267">
        <f t="shared" si="7"/>
        <v>0</v>
      </c>
      <c r="G50" s="55"/>
    </row>
    <row r="51" ht="14.25" customHeight="1">
      <c r="B51" s="264" t="str">
        <f t="shared" si="4"/>
        <v/>
      </c>
      <c r="C51" s="265" t="str">
        <f t="shared" si="5"/>
        <v/>
      </c>
      <c r="D51" s="266">
        <f t="shared" si="6"/>
        <v>0</v>
      </c>
      <c r="E51" s="267">
        <f>IFERROR((IF($C$40="Gross Margin",F35/$F$37*$F$12,IF($C$40="Net Margin",F35/$F$37*$F$18,"Error")))/D51,"")/IF($D$40="USD",'Parámetros'!$L$3,1)</f>
        <v>0</v>
      </c>
      <c r="F51" s="267">
        <f t="shared" si="7"/>
        <v>0</v>
      </c>
      <c r="G51" s="55"/>
    </row>
    <row r="52" ht="14.25" customHeight="1">
      <c r="B52" s="264" t="str">
        <f t="shared" si="4"/>
        <v/>
      </c>
      <c r="C52" s="265" t="str">
        <f t="shared" si="5"/>
        <v/>
      </c>
      <c r="D52" s="268">
        <f t="shared" si="6"/>
        <v>0</v>
      </c>
      <c r="E52" s="267">
        <f>IFERROR((IF($C$40="Gross Margin",F36/$F$37*$F$12,IF($C$40="Net Margin",F36/$F$37*$F$18,"Error")))/D52,"")/IF($D$40="USD",'Parámetros'!$L$3,1)</f>
        <v>0</v>
      </c>
      <c r="F52" s="267">
        <f t="shared" si="7"/>
        <v>0</v>
      </c>
      <c r="G52" s="55"/>
    </row>
    <row r="53" ht="14.25" customHeight="1">
      <c r="E53" s="269" t="s">
        <v>52</v>
      </c>
      <c r="F53" s="270">
        <f>SUM(F43:F52)</f>
        <v>21045.09296</v>
      </c>
      <c r="G53" s="55"/>
    </row>
    <row r="54" ht="14.25" customHeight="1">
      <c r="E54" s="269" t="s">
        <v>167</v>
      </c>
      <c r="F54" s="270">
        <f>F53-G12</f>
        <v>0</v>
      </c>
      <c r="G54" s="55"/>
    </row>
    <row r="55" ht="14.25" customHeight="1">
      <c r="D55" s="271"/>
      <c r="E55" s="271"/>
      <c r="G55" s="55"/>
    </row>
    <row r="56" ht="14.25" customHeight="1">
      <c r="B56" s="272" t="s">
        <v>11</v>
      </c>
      <c r="C56" s="272" t="s">
        <v>52</v>
      </c>
      <c r="D56" s="273" t="s">
        <v>116</v>
      </c>
      <c r="E56" s="274"/>
      <c r="G56" s="55"/>
    </row>
    <row r="57" ht="14.25" customHeight="1" outlineLevel="1">
      <c r="A57" s="33"/>
      <c r="B57" s="275" t="s">
        <v>14</v>
      </c>
      <c r="C57" s="276">
        <f>G37</f>
        <v>52297056</v>
      </c>
      <c r="D57" s="276">
        <f t="shared" ref="D57:D62" si="8">C57/C$10</f>
        <v>8716176</v>
      </c>
      <c r="E57" s="277"/>
      <c r="F57" s="33"/>
      <c r="G57" s="37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</row>
    <row r="58" ht="14.25" customHeight="1" outlineLevel="1">
      <c r="A58" s="33"/>
      <c r="B58" s="278" t="s">
        <v>17</v>
      </c>
      <c r="C58" s="279">
        <f>C60+C61+C59</f>
        <v>3225311.62</v>
      </c>
      <c r="D58" s="279">
        <f t="shared" si="8"/>
        <v>537551.9367</v>
      </c>
      <c r="E58" s="277"/>
      <c r="F58" s="33"/>
      <c r="G58" s="37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</row>
    <row r="59" ht="14.25" customHeight="1" outlineLevel="1">
      <c r="B59" s="280" t="s">
        <v>19</v>
      </c>
      <c r="C59" s="70"/>
      <c r="D59" s="70">
        <f t="shared" si="8"/>
        <v>0</v>
      </c>
      <c r="E59" s="271"/>
      <c r="G59" s="55"/>
    </row>
    <row r="60" ht="14.25" customHeight="1" outlineLevel="1">
      <c r="B60" s="280" t="s">
        <v>20</v>
      </c>
      <c r="C60" s="281">
        <f>H37*AVERAGE('Parámetros'!G8:G9)*IF(C2="Network",15%,100%)*IF(C2="Enterprise",40%,100%)</f>
        <v>3225311.62</v>
      </c>
      <c r="D60" s="281">
        <f t="shared" si="8"/>
        <v>537551.9367</v>
      </c>
      <c r="E60" s="282"/>
      <c r="G60" s="55"/>
    </row>
    <row r="61" ht="14.25" customHeight="1" outlineLevel="1">
      <c r="B61" s="280" t="s">
        <v>21</v>
      </c>
      <c r="C61" s="70"/>
      <c r="D61" s="70">
        <f t="shared" si="8"/>
        <v>0</v>
      </c>
      <c r="E61" s="282"/>
      <c r="G61" s="55"/>
    </row>
    <row r="62" ht="14.25" customHeight="1">
      <c r="B62" s="283" t="s">
        <v>23</v>
      </c>
      <c r="C62" s="284">
        <f>C57+C58</f>
        <v>55522367.62</v>
      </c>
      <c r="D62" s="284">
        <f t="shared" si="8"/>
        <v>9253727.937</v>
      </c>
      <c r="E62" s="277"/>
      <c r="G62" s="55"/>
    </row>
    <row r="63" ht="14.25" customHeight="1">
      <c r="B63" s="285" t="s">
        <v>168</v>
      </c>
      <c r="C63" s="286">
        <f t="shared" ref="C63:D63" si="9">C57+C59+C61</f>
        <v>52297056</v>
      </c>
      <c r="D63" s="286">
        <f t="shared" si="9"/>
        <v>8716176</v>
      </c>
      <c r="E63" s="287"/>
      <c r="G63" s="55"/>
    </row>
    <row r="64">
      <c r="D64" s="271"/>
      <c r="E64" s="271"/>
      <c r="G64" s="55"/>
    </row>
    <row r="65" ht="14.25" customHeight="1">
      <c r="G65" s="55"/>
    </row>
    <row r="66" ht="14.25" customHeight="1">
      <c r="G66" s="55"/>
    </row>
    <row r="67" ht="14.25" customHeight="1">
      <c r="B67" s="142" t="s">
        <v>174</v>
      </c>
      <c r="G67" s="55"/>
    </row>
    <row r="68" ht="14.25" customHeight="1">
      <c r="A68" s="293" t="s">
        <v>175</v>
      </c>
      <c r="B68" s="294" t="s">
        <v>31</v>
      </c>
      <c r="C68" s="295" t="s">
        <v>35</v>
      </c>
      <c r="D68" s="296" t="s">
        <v>48</v>
      </c>
      <c r="G68" s="55"/>
    </row>
    <row r="69" ht="14.25" customHeight="1">
      <c r="A69" s="297">
        <v>1.0</v>
      </c>
      <c r="B69" s="298" t="s">
        <v>176</v>
      </c>
      <c r="C69" s="265">
        <v>0.33</v>
      </c>
      <c r="D69" s="299">
        <v>59.400000000000006</v>
      </c>
      <c r="G69" s="55"/>
    </row>
    <row r="70" ht="14.25" customHeight="1">
      <c r="A70" s="297">
        <v>1.0</v>
      </c>
      <c r="B70" s="298" t="s">
        <v>177</v>
      </c>
      <c r="C70" s="265">
        <v>1.0</v>
      </c>
      <c r="D70" s="299">
        <v>180.0</v>
      </c>
      <c r="G70" s="55"/>
    </row>
    <row r="71" ht="14.25" customHeight="1">
      <c r="A71" s="297">
        <v>1.0</v>
      </c>
      <c r="B71" s="298" t="s">
        <v>178</v>
      </c>
      <c r="C71" s="265">
        <v>0.25</v>
      </c>
      <c r="D71" s="299">
        <v>45.0</v>
      </c>
      <c r="G71" s="55"/>
    </row>
    <row r="72" ht="14.25" customHeight="1">
      <c r="A72" s="297">
        <v>1.0</v>
      </c>
      <c r="B72" s="298" t="s">
        <v>179</v>
      </c>
      <c r="C72" s="265">
        <v>0.3</v>
      </c>
      <c r="D72" s="299">
        <v>54.0</v>
      </c>
      <c r="G72" s="55"/>
    </row>
    <row r="73" ht="14.25" customHeight="1">
      <c r="A73" s="297">
        <v>1.0</v>
      </c>
      <c r="B73" s="264" t="s">
        <v>180</v>
      </c>
      <c r="C73" s="265">
        <v>0.33</v>
      </c>
      <c r="D73" s="299">
        <v>59.400000000000006</v>
      </c>
      <c r="G73" s="55"/>
    </row>
    <row r="74" ht="14.25" customHeight="1">
      <c r="A74" s="297">
        <v>1.0</v>
      </c>
      <c r="B74" s="264" t="s">
        <v>181</v>
      </c>
      <c r="C74" s="265">
        <v>0.33</v>
      </c>
      <c r="D74" s="299">
        <v>59.400000000000006</v>
      </c>
      <c r="G74" s="55"/>
    </row>
    <row r="75" ht="14.25" customHeight="1">
      <c r="A75" s="300">
        <v>1.0</v>
      </c>
      <c r="B75" s="301" t="s">
        <v>182</v>
      </c>
      <c r="C75" s="302">
        <v>0.2</v>
      </c>
      <c r="D75" s="303">
        <v>36.0</v>
      </c>
      <c r="G75" s="55"/>
    </row>
    <row r="76" ht="14.25" customHeight="1">
      <c r="G76" s="55"/>
    </row>
    <row r="77" ht="14.25" customHeight="1">
      <c r="G77" s="55"/>
    </row>
    <row r="78" ht="14.25" customHeight="1">
      <c r="G78" s="55"/>
    </row>
    <row r="79" ht="14.25" customHeight="1">
      <c r="G79" s="55"/>
    </row>
    <row r="80" ht="14.25" customHeight="1">
      <c r="G80" s="55"/>
    </row>
    <row r="81" ht="14.25" customHeight="1">
      <c r="G81" s="55"/>
    </row>
    <row r="82" ht="14.25" customHeight="1">
      <c r="G82" s="55"/>
    </row>
    <row r="83" ht="14.25" customHeight="1">
      <c r="G83" s="55"/>
    </row>
    <row r="84" ht="14.25" customHeight="1">
      <c r="G84" s="55"/>
    </row>
    <row r="85" ht="14.25" customHeight="1">
      <c r="G85" s="55"/>
    </row>
    <row r="86" ht="14.25" customHeight="1">
      <c r="G86" s="55"/>
    </row>
    <row r="87" ht="14.25" customHeight="1">
      <c r="G87" s="55"/>
    </row>
    <row r="88" ht="14.25" customHeight="1">
      <c r="G88" s="55"/>
    </row>
    <row r="89" ht="14.25" customHeight="1">
      <c r="G89" s="55"/>
    </row>
    <row r="90" ht="14.25" customHeight="1">
      <c r="G90" s="55"/>
    </row>
    <row r="91" ht="14.25" customHeight="1">
      <c r="G91" s="55"/>
    </row>
    <row r="92" ht="14.25" customHeight="1">
      <c r="G92" s="55"/>
    </row>
    <row r="93" ht="14.25" customHeight="1">
      <c r="G93" s="55"/>
    </row>
    <row r="94" ht="14.25" customHeight="1">
      <c r="G94" s="55"/>
    </row>
    <row r="95" ht="14.25" customHeight="1">
      <c r="G95" s="55"/>
    </row>
    <row r="96" ht="14.25" customHeight="1">
      <c r="G96" s="55"/>
    </row>
    <row r="97" ht="14.25" customHeight="1">
      <c r="G97" s="55"/>
    </row>
    <row r="98" ht="14.25" customHeight="1">
      <c r="G98" s="55"/>
    </row>
    <row r="99" ht="14.25" customHeight="1">
      <c r="G99" s="55"/>
    </row>
    <row r="100" ht="14.25" customHeight="1">
      <c r="G100" s="55"/>
    </row>
    <row r="101" ht="14.25" customHeight="1">
      <c r="G101" s="55"/>
    </row>
    <row r="102" ht="14.25" customHeight="1">
      <c r="G102" s="55"/>
    </row>
    <row r="103" ht="14.25" customHeight="1">
      <c r="G103" s="55"/>
    </row>
    <row r="104" ht="14.25" customHeight="1">
      <c r="G104" s="55"/>
    </row>
    <row r="105" ht="14.25" customHeight="1">
      <c r="G105" s="55"/>
    </row>
    <row r="106" ht="14.25" customHeight="1">
      <c r="G106" s="55"/>
    </row>
    <row r="107" ht="14.25" customHeight="1">
      <c r="G107" s="55"/>
    </row>
    <row r="108" ht="14.25" customHeight="1">
      <c r="G108" s="55"/>
    </row>
    <row r="109" ht="14.25" customHeight="1">
      <c r="G109" s="55"/>
    </row>
    <row r="110" ht="14.25" customHeight="1">
      <c r="G110" s="55"/>
    </row>
    <row r="111" ht="14.25" customHeight="1">
      <c r="G111" s="55"/>
    </row>
    <row r="112" ht="14.25" customHeight="1">
      <c r="G112" s="55"/>
    </row>
    <row r="113" ht="14.25" customHeight="1">
      <c r="G113" s="55"/>
    </row>
    <row r="114" ht="14.25" customHeight="1">
      <c r="G114" s="55"/>
    </row>
    <row r="115" ht="14.25" customHeight="1">
      <c r="G115" s="55"/>
    </row>
    <row r="116" ht="14.25" customHeight="1">
      <c r="G116" s="55"/>
    </row>
    <row r="117" ht="14.25" customHeight="1">
      <c r="G117" s="55"/>
    </row>
    <row r="118" ht="14.25" customHeight="1">
      <c r="G118" s="55"/>
    </row>
    <row r="119" ht="14.25" customHeight="1">
      <c r="G119" s="55"/>
    </row>
    <row r="120" ht="14.25" customHeight="1">
      <c r="G120" s="55"/>
    </row>
    <row r="121" ht="14.25" customHeight="1">
      <c r="G121" s="55"/>
    </row>
    <row r="122" ht="14.25" customHeight="1">
      <c r="G122" s="55"/>
    </row>
    <row r="123" ht="14.25" customHeight="1">
      <c r="G123" s="55"/>
    </row>
    <row r="124" ht="14.25" customHeight="1">
      <c r="G124" s="55"/>
    </row>
    <row r="125" ht="14.25" customHeight="1">
      <c r="G125" s="55"/>
    </row>
    <row r="126" ht="14.25" customHeight="1">
      <c r="G126" s="55"/>
    </row>
    <row r="127" ht="14.25" customHeight="1">
      <c r="G127" s="55"/>
    </row>
    <row r="128" ht="14.25" customHeight="1">
      <c r="G128" s="55"/>
    </row>
    <row r="129" ht="14.25" customHeight="1">
      <c r="G129" s="55"/>
    </row>
    <row r="130" ht="14.25" customHeight="1">
      <c r="G130" s="55"/>
    </row>
    <row r="131" ht="14.25" customHeight="1">
      <c r="G131" s="55"/>
    </row>
    <row r="132" ht="14.25" customHeight="1">
      <c r="G132" s="55"/>
    </row>
    <row r="133" ht="14.25" customHeight="1">
      <c r="G133" s="55"/>
    </row>
    <row r="134" ht="14.25" customHeight="1">
      <c r="G134" s="55"/>
    </row>
    <row r="135" ht="14.25" customHeight="1">
      <c r="G135" s="55"/>
    </row>
    <row r="136" ht="14.25" customHeight="1">
      <c r="G136" s="55"/>
    </row>
    <row r="137" ht="14.25" customHeight="1">
      <c r="G137" s="55"/>
    </row>
    <row r="138" ht="14.25" customHeight="1">
      <c r="G138" s="55"/>
    </row>
    <row r="139" ht="14.25" customHeight="1">
      <c r="G139" s="55"/>
    </row>
    <row r="140" ht="14.25" customHeight="1">
      <c r="G140" s="55"/>
    </row>
    <row r="141" ht="14.25" customHeight="1">
      <c r="G141" s="55"/>
    </row>
    <row r="142" ht="14.25" customHeight="1">
      <c r="G142" s="55"/>
    </row>
    <row r="143" ht="14.25" customHeight="1">
      <c r="G143" s="55"/>
    </row>
    <row r="144" ht="14.25" customHeight="1">
      <c r="G144" s="55"/>
    </row>
    <row r="145" ht="14.25" customHeight="1">
      <c r="G145" s="55"/>
    </row>
    <row r="146" ht="14.25" customHeight="1">
      <c r="G146" s="55"/>
    </row>
    <row r="147" ht="14.25" customHeight="1">
      <c r="G147" s="55"/>
    </row>
    <row r="148" ht="14.25" customHeight="1">
      <c r="G148" s="55"/>
    </row>
    <row r="149" ht="14.25" customHeight="1">
      <c r="G149" s="55"/>
    </row>
    <row r="150" ht="14.25" customHeight="1">
      <c r="G150" s="55"/>
    </row>
    <row r="151" ht="14.25" customHeight="1">
      <c r="G151" s="55"/>
    </row>
    <row r="152" ht="14.25" customHeight="1">
      <c r="G152" s="55"/>
    </row>
    <row r="153" ht="14.25" customHeight="1">
      <c r="G153" s="55"/>
    </row>
    <row r="154" ht="14.25" customHeight="1">
      <c r="G154" s="55"/>
    </row>
    <row r="155" ht="14.25" customHeight="1">
      <c r="G155" s="55"/>
    </row>
    <row r="156" ht="14.25" customHeight="1">
      <c r="G156" s="55"/>
    </row>
    <row r="157" ht="14.25" customHeight="1">
      <c r="G157" s="55"/>
    </row>
    <row r="158" ht="14.25" customHeight="1">
      <c r="G158" s="55"/>
    </row>
    <row r="159" ht="14.25" customHeight="1">
      <c r="G159" s="55"/>
    </row>
    <row r="160" ht="14.25" customHeight="1">
      <c r="G160" s="55"/>
    </row>
    <row r="161" ht="14.25" customHeight="1">
      <c r="G161" s="55"/>
    </row>
    <row r="162" ht="14.25" customHeight="1">
      <c r="G162" s="55"/>
    </row>
    <row r="163" ht="14.25" customHeight="1">
      <c r="G163" s="55"/>
    </row>
    <row r="164" ht="14.25" customHeight="1">
      <c r="G164" s="55"/>
    </row>
    <row r="165" ht="14.25" customHeight="1">
      <c r="G165" s="55"/>
    </row>
    <row r="166" ht="14.25" customHeight="1">
      <c r="G166" s="55"/>
    </row>
    <row r="167" ht="14.25" customHeight="1">
      <c r="G167" s="55"/>
    </row>
    <row r="168" ht="14.25" customHeight="1">
      <c r="G168" s="55"/>
    </row>
    <row r="169" ht="14.25" customHeight="1">
      <c r="G169" s="55"/>
    </row>
    <row r="170" ht="14.25" customHeight="1">
      <c r="G170" s="55"/>
    </row>
    <row r="171" ht="14.25" customHeight="1">
      <c r="G171" s="55"/>
    </row>
    <row r="172" ht="14.25" customHeight="1">
      <c r="G172" s="55"/>
    </row>
    <row r="173" ht="14.25" customHeight="1">
      <c r="G173" s="55"/>
    </row>
    <row r="174" ht="14.25" customHeight="1">
      <c r="G174" s="55"/>
    </row>
    <row r="175" ht="14.25" customHeight="1">
      <c r="G175" s="55"/>
    </row>
    <row r="176" ht="14.25" customHeight="1">
      <c r="G176" s="55"/>
    </row>
    <row r="177" ht="14.25" customHeight="1">
      <c r="G177" s="55"/>
    </row>
    <row r="178" ht="14.25" customHeight="1">
      <c r="G178" s="55"/>
    </row>
    <row r="179" ht="14.25" customHeight="1">
      <c r="G179" s="55"/>
    </row>
    <row r="180" ht="14.25" customHeight="1">
      <c r="G180" s="55"/>
    </row>
    <row r="181" ht="14.25" customHeight="1">
      <c r="G181" s="55"/>
    </row>
    <row r="182" ht="14.25" customHeight="1">
      <c r="G182" s="55"/>
    </row>
    <row r="183" ht="14.25" customHeight="1">
      <c r="G183" s="55"/>
    </row>
    <row r="184" ht="14.25" customHeight="1">
      <c r="G184" s="55"/>
    </row>
    <row r="185" ht="14.25" customHeight="1">
      <c r="G185" s="55"/>
    </row>
    <row r="186" ht="14.25" customHeight="1">
      <c r="G186" s="55"/>
    </row>
    <row r="187" ht="14.25" customHeight="1">
      <c r="G187" s="55"/>
    </row>
    <row r="188" ht="14.25" customHeight="1">
      <c r="G188" s="55"/>
    </row>
    <row r="189" ht="14.25" customHeight="1">
      <c r="G189" s="55"/>
    </row>
    <row r="190" ht="14.25" customHeight="1">
      <c r="G190" s="55"/>
    </row>
    <row r="191" ht="14.25" customHeight="1">
      <c r="G191" s="55"/>
    </row>
    <row r="192" ht="14.25" customHeight="1">
      <c r="G192" s="55"/>
    </row>
    <row r="193" ht="14.25" customHeight="1">
      <c r="G193" s="55"/>
    </row>
    <row r="194" ht="14.25" customHeight="1">
      <c r="G194" s="55"/>
    </row>
    <row r="195" ht="14.25" customHeight="1">
      <c r="G195" s="55"/>
    </row>
    <row r="196" ht="14.25" customHeight="1">
      <c r="G196" s="55"/>
    </row>
    <row r="197" ht="14.25" customHeight="1">
      <c r="G197" s="55"/>
    </row>
    <row r="198" ht="14.25" customHeight="1">
      <c r="G198" s="55"/>
    </row>
    <row r="199" ht="14.25" customHeight="1">
      <c r="G199" s="55"/>
    </row>
    <row r="200" ht="14.25" customHeight="1">
      <c r="G200" s="55"/>
    </row>
    <row r="201" ht="14.25" customHeight="1">
      <c r="G201" s="55"/>
    </row>
    <row r="202" ht="14.25" customHeight="1">
      <c r="G202" s="55"/>
    </row>
    <row r="203" ht="14.25" customHeight="1">
      <c r="G203" s="55"/>
    </row>
    <row r="204" ht="14.25" customHeight="1">
      <c r="G204" s="55"/>
    </row>
    <row r="205" ht="14.25" customHeight="1">
      <c r="G205" s="55"/>
    </row>
    <row r="206" ht="14.25" customHeight="1">
      <c r="G206" s="55"/>
    </row>
    <row r="207" ht="14.25" customHeight="1">
      <c r="G207" s="55"/>
    </row>
    <row r="208" ht="14.25" customHeight="1">
      <c r="G208" s="55"/>
    </row>
    <row r="209" ht="14.25" customHeight="1">
      <c r="G209" s="55"/>
    </row>
    <row r="210" ht="14.25" customHeight="1">
      <c r="G210" s="55"/>
    </row>
    <row r="211" ht="14.25" customHeight="1">
      <c r="G211" s="55"/>
    </row>
    <row r="212" ht="14.25" customHeight="1">
      <c r="G212" s="55"/>
    </row>
    <row r="213" ht="14.25" customHeight="1">
      <c r="G213" s="55"/>
    </row>
    <row r="214" ht="14.25" customHeight="1">
      <c r="G214" s="55"/>
    </row>
    <row r="215" ht="14.25" customHeight="1">
      <c r="G215" s="55"/>
    </row>
    <row r="216" ht="14.25" customHeight="1">
      <c r="G216" s="55"/>
    </row>
    <row r="217" ht="14.25" customHeight="1">
      <c r="G217" s="55"/>
    </row>
    <row r="218" ht="14.25" customHeight="1">
      <c r="G218" s="55"/>
    </row>
    <row r="219" ht="14.25" customHeight="1">
      <c r="G219" s="55"/>
    </row>
    <row r="220" ht="14.25" customHeight="1">
      <c r="G220" s="55"/>
    </row>
    <row r="221" ht="14.25" customHeight="1">
      <c r="G221" s="55"/>
    </row>
    <row r="222" ht="14.25" customHeight="1">
      <c r="G222" s="55"/>
    </row>
    <row r="223" ht="14.25" customHeight="1">
      <c r="G223" s="55"/>
    </row>
    <row r="224" ht="14.25" customHeight="1">
      <c r="G224" s="55"/>
    </row>
    <row r="225" ht="14.25" customHeight="1">
      <c r="G225" s="55"/>
    </row>
    <row r="226" ht="14.25" customHeight="1">
      <c r="G226" s="55"/>
    </row>
    <row r="227" ht="14.25" customHeight="1">
      <c r="G227" s="55"/>
    </row>
    <row r="228" ht="14.25" customHeight="1">
      <c r="G228" s="55"/>
    </row>
    <row r="229" ht="14.25" customHeight="1">
      <c r="G229" s="55"/>
    </row>
    <row r="230" ht="14.25" customHeight="1">
      <c r="G230" s="55"/>
    </row>
    <row r="231" ht="14.25" customHeight="1">
      <c r="G231" s="55"/>
    </row>
    <row r="232" ht="14.25" customHeight="1">
      <c r="G232" s="55"/>
    </row>
    <row r="233" ht="14.25" customHeight="1">
      <c r="G233" s="55"/>
    </row>
    <row r="234" ht="14.25" customHeight="1">
      <c r="G234" s="55"/>
    </row>
    <row r="235" ht="14.25" customHeight="1">
      <c r="G235" s="55"/>
    </row>
    <row r="236" ht="14.25" customHeight="1">
      <c r="G236" s="55"/>
    </row>
    <row r="237" ht="14.25" customHeight="1">
      <c r="G237" s="55"/>
    </row>
    <row r="238" ht="14.25" customHeight="1">
      <c r="G238" s="55"/>
    </row>
    <row r="239" ht="14.25" customHeight="1">
      <c r="G239" s="55"/>
    </row>
    <row r="240" ht="14.25" customHeight="1">
      <c r="G240" s="55"/>
    </row>
    <row r="241" ht="14.25" customHeight="1">
      <c r="G241" s="55"/>
    </row>
    <row r="242" ht="14.25" customHeight="1">
      <c r="G242" s="55"/>
    </row>
    <row r="243" ht="14.25" customHeight="1">
      <c r="G243" s="55"/>
    </row>
    <row r="244" ht="14.25" customHeight="1">
      <c r="G244" s="55"/>
    </row>
    <row r="245" ht="14.25" customHeight="1">
      <c r="G245" s="55"/>
    </row>
    <row r="246" ht="14.25" customHeight="1">
      <c r="G246" s="55"/>
    </row>
    <row r="247" ht="14.25" customHeight="1">
      <c r="G247" s="55"/>
    </row>
    <row r="248" ht="14.25" customHeight="1">
      <c r="G248" s="55"/>
    </row>
    <row r="249" ht="14.25" customHeight="1">
      <c r="G249" s="55"/>
    </row>
    <row r="250" ht="14.25" customHeight="1">
      <c r="G250" s="55"/>
    </row>
    <row r="251" ht="14.25" customHeight="1">
      <c r="G251" s="55"/>
    </row>
    <row r="252" ht="14.25" customHeight="1">
      <c r="G252" s="55"/>
    </row>
    <row r="253" ht="14.25" customHeight="1">
      <c r="G253" s="55"/>
    </row>
    <row r="254" ht="14.25" customHeight="1">
      <c r="G254" s="55"/>
    </row>
    <row r="255" ht="14.25" customHeight="1">
      <c r="G255" s="55"/>
    </row>
    <row r="256" ht="14.25" customHeight="1">
      <c r="G256" s="55"/>
    </row>
    <row r="257" ht="14.25" customHeight="1">
      <c r="G257" s="55"/>
    </row>
    <row r="258" ht="14.25" customHeight="1">
      <c r="G258" s="55"/>
    </row>
    <row r="259" ht="14.25" customHeight="1">
      <c r="G259" s="55"/>
    </row>
    <row r="260" ht="14.25" customHeight="1">
      <c r="G260" s="55"/>
    </row>
    <row r="261" ht="14.25" customHeight="1">
      <c r="G261" s="55"/>
    </row>
    <row r="262" ht="14.25" customHeight="1">
      <c r="G262" s="55"/>
    </row>
    <row r="263" ht="14.25" customHeight="1">
      <c r="G263" s="55"/>
    </row>
    <row r="264" ht="14.25" customHeight="1">
      <c r="G264" s="55"/>
    </row>
    <row r="265" ht="14.25" customHeight="1">
      <c r="G265" s="55"/>
    </row>
    <row r="266" ht="14.25" customHeight="1">
      <c r="G266" s="55"/>
    </row>
    <row r="267" ht="14.25" customHeight="1">
      <c r="G267" s="55"/>
    </row>
    <row r="268" ht="14.25" customHeight="1">
      <c r="G268" s="55"/>
    </row>
    <row r="269" ht="14.25" customHeight="1">
      <c r="G269" s="55"/>
    </row>
    <row r="270" ht="14.25" customHeight="1">
      <c r="G270" s="55"/>
    </row>
    <row r="271" ht="14.25" customHeight="1">
      <c r="G271" s="55"/>
    </row>
    <row r="272" ht="14.25" customHeight="1">
      <c r="G272" s="55"/>
    </row>
    <row r="273" ht="14.25" customHeight="1">
      <c r="G273" s="55"/>
    </row>
    <row r="274" ht="14.25" customHeight="1">
      <c r="G274" s="55"/>
    </row>
    <row r="275" ht="14.25" customHeight="1">
      <c r="G275" s="55"/>
    </row>
    <row r="276" ht="14.25" customHeight="1">
      <c r="G276" s="55"/>
    </row>
    <row r="277" ht="14.25" customHeight="1">
      <c r="G277" s="55"/>
    </row>
    <row r="278" ht="14.25" customHeight="1">
      <c r="G278" s="55"/>
    </row>
    <row r="279" ht="14.25" customHeight="1">
      <c r="G279" s="55"/>
    </row>
    <row r="280" ht="14.25" customHeight="1">
      <c r="G280" s="55"/>
    </row>
    <row r="281" ht="14.25" customHeight="1">
      <c r="G281" s="55"/>
    </row>
    <row r="282" ht="14.25" customHeight="1">
      <c r="G282" s="55"/>
    </row>
    <row r="283" ht="14.25" customHeight="1">
      <c r="G283" s="55"/>
    </row>
    <row r="284" ht="14.25" customHeight="1">
      <c r="G284" s="55"/>
    </row>
    <row r="285" ht="14.25" customHeight="1">
      <c r="G285" s="55"/>
    </row>
    <row r="286" ht="14.25" customHeight="1">
      <c r="G286" s="55"/>
    </row>
    <row r="287" ht="14.25" customHeight="1">
      <c r="G287" s="55"/>
    </row>
    <row r="288" ht="14.25" customHeight="1">
      <c r="G288" s="55"/>
    </row>
    <row r="289" ht="14.25" customHeight="1">
      <c r="G289" s="55"/>
    </row>
    <row r="290" ht="14.25" customHeight="1">
      <c r="G290" s="55"/>
    </row>
    <row r="291" ht="14.25" customHeight="1">
      <c r="G291" s="55"/>
    </row>
    <row r="292" ht="14.25" customHeight="1">
      <c r="G292" s="55"/>
    </row>
    <row r="293" ht="14.25" customHeight="1">
      <c r="G293" s="55"/>
    </row>
    <row r="294" ht="14.25" customHeight="1">
      <c r="G294" s="55"/>
    </row>
    <row r="295" ht="14.25" customHeight="1">
      <c r="G295" s="55"/>
    </row>
    <row r="296" ht="14.25" customHeight="1">
      <c r="G296" s="55"/>
    </row>
    <row r="297" ht="14.25" customHeight="1">
      <c r="G297" s="55"/>
    </row>
    <row r="298" ht="14.25" customHeight="1">
      <c r="G298" s="55"/>
    </row>
    <row r="299" ht="14.25" customHeight="1">
      <c r="G299" s="55"/>
    </row>
    <row r="300" ht="14.25" customHeight="1">
      <c r="G300" s="55"/>
    </row>
    <row r="301" ht="14.25" customHeight="1">
      <c r="G301" s="55"/>
    </row>
    <row r="302" ht="14.25" customHeight="1">
      <c r="G302" s="55"/>
    </row>
    <row r="303" ht="14.25" customHeight="1">
      <c r="G303" s="55"/>
    </row>
    <row r="304" ht="14.25" customHeight="1">
      <c r="G304" s="55"/>
    </row>
    <row r="305" ht="14.25" customHeight="1">
      <c r="G305" s="55"/>
    </row>
    <row r="306" ht="14.25" customHeight="1">
      <c r="G306" s="55"/>
    </row>
    <row r="307" ht="14.25" customHeight="1">
      <c r="G307" s="55"/>
    </row>
    <row r="308" ht="14.25" customHeight="1">
      <c r="G308" s="55"/>
    </row>
    <row r="309" ht="14.25" customHeight="1">
      <c r="G309" s="55"/>
    </row>
    <row r="310" ht="14.25" customHeight="1">
      <c r="G310" s="55"/>
    </row>
    <row r="311" ht="14.25" customHeight="1">
      <c r="G311" s="55"/>
    </row>
    <row r="312" ht="14.25" customHeight="1">
      <c r="G312" s="55"/>
    </row>
    <row r="313" ht="14.25" customHeight="1">
      <c r="G313" s="55"/>
    </row>
    <row r="314" ht="14.25" customHeight="1">
      <c r="G314" s="55"/>
    </row>
    <row r="315" ht="14.25" customHeight="1">
      <c r="G315" s="55"/>
    </row>
    <row r="316" ht="14.25" customHeight="1">
      <c r="G316" s="55"/>
    </row>
    <row r="317" ht="14.25" customHeight="1">
      <c r="G317" s="55"/>
    </row>
    <row r="318" ht="14.25" customHeight="1">
      <c r="G318" s="55"/>
    </row>
    <row r="319" ht="14.25" customHeight="1">
      <c r="G319" s="55"/>
    </row>
    <row r="320" ht="14.25" customHeight="1">
      <c r="G320" s="55"/>
    </row>
    <row r="321" ht="14.25" customHeight="1">
      <c r="G321" s="55"/>
    </row>
    <row r="322" ht="14.25" customHeight="1">
      <c r="G322" s="55"/>
    </row>
    <row r="323" ht="14.25" customHeight="1">
      <c r="G323" s="55"/>
    </row>
    <row r="324" ht="14.25" customHeight="1">
      <c r="G324" s="55"/>
    </row>
    <row r="325" ht="14.25" customHeight="1">
      <c r="G325" s="55"/>
    </row>
    <row r="326" ht="14.25" customHeight="1">
      <c r="G326" s="55"/>
    </row>
    <row r="327" ht="14.25" customHeight="1">
      <c r="G327" s="55"/>
    </row>
    <row r="328" ht="14.25" customHeight="1">
      <c r="G328" s="55"/>
    </row>
    <row r="329" ht="14.25" customHeight="1">
      <c r="G329" s="55"/>
    </row>
    <row r="330" ht="14.25" customHeight="1">
      <c r="G330" s="55"/>
    </row>
    <row r="331" ht="14.25" customHeight="1">
      <c r="G331" s="55"/>
    </row>
    <row r="332" ht="14.25" customHeight="1">
      <c r="G332" s="55"/>
    </row>
    <row r="333" ht="14.25" customHeight="1">
      <c r="G333" s="55"/>
    </row>
    <row r="334" ht="14.25" customHeight="1">
      <c r="G334" s="55"/>
    </row>
    <row r="335" ht="14.25" customHeight="1">
      <c r="G335" s="55"/>
    </row>
    <row r="336" ht="14.25" customHeight="1">
      <c r="G336" s="55"/>
    </row>
    <row r="337" ht="14.25" customHeight="1">
      <c r="G337" s="55"/>
    </row>
    <row r="338" ht="14.25" customHeight="1">
      <c r="G338" s="55"/>
    </row>
    <row r="339" ht="14.25" customHeight="1">
      <c r="G339" s="55"/>
    </row>
    <row r="340" ht="14.25" customHeight="1">
      <c r="G340" s="55"/>
    </row>
    <row r="341" ht="14.25" customHeight="1">
      <c r="G341" s="55"/>
    </row>
    <row r="342" ht="14.25" customHeight="1">
      <c r="G342" s="55"/>
    </row>
    <row r="343" ht="14.25" customHeight="1">
      <c r="G343" s="55"/>
    </row>
    <row r="344" ht="14.25" customHeight="1">
      <c r="G344" s="55"/>
    </row>
    <row r="345" ht="14.25" customHeight="1">
      <c r="G345" s="55"/>
    </row>
    <row r="346" ht="14.25" customHeight="1">
      <c r="G346" s="55"/>
    </row>
    <row r="347" ht="14.25" customHeight="1">
      <c r="G347" s="55"/>
    </row>
    <row r="348" ht="14.25" customHeight="1">
      <c r="G348" s="55"/>
    </row>
    <row r="349" ht="14.25" customHeight="1">
      <c r="G349" s="55"/>
    </row>
    <row r="350" ht="14.25" customHeight="1">
      <c r="G350" s="55"/>
    </row>
    <row r="351" ht="14.25" customHeight="1">
      <c r="G351" s="55"/>
    </row>
    <row r="352" ht="14.25" customHeight="1">
      <c r="G352" s="55"/>
    </row>
    <row r="353" ht="14.25" customHeight="1">
      <c r="G353" s="55"/>
    </row>
    <row r="354" ht="14.25" customHeight="1">
      <c r="G354" s="55"/>
    </row>
    <row r="355" ht="14.25" customHeight="1">
      <c r="G355" s="55"/>
    </row>
    <row r="356" ht="14.25" customHeight="1">
      <c r="G356" s="55"/>
    </row>
    <row r="357" ht="14.25" customHeight="1">
      <c r="G357" s="55"/>
    </row>
    <row r="358" ht="14.25" customHeight="1">
      <c r="G358" s="55"/>
    </row>
    <row r="359" ht="14.25" customHeight="1">
      <c r="G359" s="55"/>
    </row>
    <row r="360" ht="14.25" customHeight="1">
      <c r="G360" s="55"/>
    </row>
    <row r="361" ht="14.25" customHeight="1">
      <c r="G361" s="55"/>
    </row>
    <row r="362" ht="14.25" customHeight="1">
      <c r="G362" s="55"/>
    </row>
    <row r="363" ht="14.25" customHeight="1">
      <c r="G363" s="55"/>
    </row>
    <row r="364" ht="14.25" customHeight="1">
      <c r="G364" s="55"/>
    </row>
    <row r="365" ht="14.25" customHeight="1">
      <c r="G365" s="55"/>
    </row>
    <row r="366" ht="14.25" customHeight="1">
      <c r="G366" s="55"/>
    </row>
    <row r="367" ht="14.25" customHeight="1">
      <c r="G367" s="55"/>
    </row>
    <row r="368" ht="14.25" customHeight="1">
      <c r="G368" s="55"/>
    </row>
    <row r="369" ht="14.25" customHeight="1">
      <c r="G369" s="55"/>
    </row>
    <row r="370" ht="14.25" customHeight="1">
      <c r="G370" s="55"/>
    </row>
    <row r="371" ht="14.25" customHeight="1">
      <c r="G371" s="55"/>
    </row>
    <row r="372" ht="14.25" customHeight="1">
      <c r="G372" s="55"/>
    </row>
    <row r="373" ht="14.25" customHeight="1">
      <c r="G373" s="55"/>
    </row>
    <row r="374" ht="14.25" customHeight="1">
      <c r="G374" s="55"/>
    </row>
    <row r="375" ht="14.25" customHeight="1">
      <c r="G375" s="55"/>
    </row>
    <row r="376" ht="14.25" customHeight="1">
      <c r="G376" s="55"/>
    </row>
    <row r="377" ht="14.25" customHeight="1">
      <c r="G377" s="55"/>
    </row>
    <row r="378" ht="14.25" customHeight="1">
      <c r="G378" s="55"/>
    </row>
    <row r="379" ht="14.25" customHeight="1">
      <c r="G379" s="55"/>
    </row>
    <row r="380" ht="14.25" customHeight="1">
      <c r="G380" s="55"/>
    </row>
    <row r="381" ht="14.25" customHeight="1">
      <c r="G381" s="55"/>
    </row>
    <row r="382" ht="14.25" customHeight="1">
      <c r="G382" s="55"/>
    </row>
    <row r="383" ht="14.25" customHeight="1">
      <c r="G383" s="55"/>
    </row>
    <row r="384" ht="14.25" customHeight="1">
      <c r="G384" s="55"/>
    </row>
    <row r="385" ht="14.25" customHeight="1">
      <c r="G385" s="55"/>
    </row>
    <row r="386" ht="14.25" customHeight="1">
      <c r="G386" s="55"/>
    </row>
    <row r="387" ht="14.25" customHeight="1">
      <c r="G387" s="55"/>
    </row>
    <row r="388" ht="14.25" customHeight="1">
      <c r="G388" s="55"/>
    </row>
    <row r="389" ht="14.25" customHeight="1">
      <c r="G389" s="55"/>
    </row>
    <row r="390" ht="14.25" customHeight="1">
      <c r="G390" s="55"/>
    </row>
    <row r="391" ht="14.25" customHeight="1">
      <c r="G391" s="55"/>
    </row>
    <row r="392" ht="14.25" customHeight="1">
      <c r="G392" s="55"/>
    </row>
    <row r="393" ht="14.25" customHeight="1">
      <c r="G393" s="55"/>
    </row>
    <row r="394" ht="14.25" customHeight="1">
      <c r="G394" s="55"/>
    </row>
    <row r="395" ht="14.25" customHeight="1">
      <c r="G395" s="55"/>
    </row>
    <row r="396" ht="14.25" customHeight="1">
      <c r="G396" s="55"/>
    </row>
    <row r="397" ht="14.25" customHeight="1">
      <c r="G397" s="55"/>
    </row>
    <row r="398" ht="14.25" customHeight="1">
      <c r="G398" s="55"/>
    </row>
    <row r="399" ht="14.25" customHeight="1">
      <c r="G399" s="55"/>
    </row>
    <row r="400" ht="14.25" customHeight="1">
      <c r="G400" s="55"/>
    </row>
    <row r="401" ht="14.25" customHeight="1">
      <c r="G401" s="55"/>
    </row>
    <row r="402" ht="14.25" customHeight="1">
      <c r="G402" s="55"/>
    </row>
    <row r="403" ht="14.25" customHeight="1">
      <c r="G403" s="55"/>
    </row>
    <row r="404" ht="14.25" customHeight="1">
      <c r="G404" s="55"/>
    </row>
    <row r="405" ht="14.25" customHeight="1">
      <c r="G405" s="55"/>
    </row>
    <row r="406" ht="14.25" customHeight="1">
      <c r="G406" s="55"/>
    </row>
    <row r="407" ht="14.25" customHeight="1">
      <c r="G407" s="55"/>
    </row>
    <row r="408" ht="14.25" customHeight="1">
      <c r="G408" s="55"/>
    </row>
    <row r="409" ht="14.25" customHeight="1">
      <c r="G409" s="55"/>
    </row>
    <row r="410" ht="14.25" customHeight="1">
      <c r="G410" s="55"/>
    </row>
    <row r="411" ht="14.25" customHeight="1">
      <c r="G411" s="55"/>
    </row>
    <row r="412" ht="14.25" customHeight="1">
      <c r="G412" s="55"/>
    </row>
    <row r="413" ht="14.25" customHeight="1">
      <c r="G413" s="55"/>
    </row>
    <row r="414" ht="14.25" customHeight="1">
      <c r="G414" s="55"/>
    </row>
    <row r="415" ht="14.25" customHeight="1">
      <c r="G415" s="55"/>
    </row>
    <row r="416" ht="14.25" customHeight="1">
      <c r="G416" s="55"/>
    </row>
    <row r="417" ht="14.25" customHeight="1">
      <c r="G417" s="55"/>
    </row>
    <row r="418" ht="14.25" customHeight="1">
      <c r="G418" s="55"/>
    </row>
    <row r="419" ht="14.25" customHeight="1">
      <c r="G419" s="55"/>
    </row>
    <row r="420" ht="14.25" customHeight="1">
      <c r="G420" s="55"/>
    </row>
    <row r="421" ht="14.25" customHeight="1">
      <c r="G421" s="55"/>
    </row>
    <row r="422" ht="14.25" customHeight="1">
      <c r="G422" s="55"/>
    </row>
    <row r="423" ht="14.25" customHeight="1">
      <c r="G423" s="55"/>
    </row>
    <row r="424" ht="14.25" customHeight="1">
      <c r="G424" s="55"/>
    </row>
    <row r="425" ht="14.25" customHeight="1">
      <c r="G425" s="55"/>
    </row>
    <row r="426" ht="14.25" customHeight="1">
      <c r="G426" s="55"/>
    </row>
    <row r="427" ht="14.25" customHeight="1">
      <c r="G427" s="55"/>
    </row>
    <row r="428" ht="14.25" customHeight="1">
      <c r="G428" s="55"/>
    </row>
    <row r="429" ht="14.25" customHeight="1">
      <c r="G429" s="55"/>
    </row>
    <row r="430" ht="14.25" customHeight="1">
      <c r="G430" s="55"/>
    </row>
    <row r="431" ht="14.25" customHeight="1">
      <c r="G431" s="55"/>
    </row>
    <row r="432" ht="14.25" customHeight="1">
      <c r="G432" s="55"/>
    </row>
    <row r="433" ht="14.25" customHeight="1">
      <c r="G433" s="55"/>
    </row>
    <row r="434" ht="14.25" customHeight="1">
      <c r="G434" s="55"/>
    </row>
    <row r="435" ht="14.25" customHeight="1">
      <c r="G435" s="55"/>
    </row>
    <row r="436" ht="14.25" customHeight="1">
      <c r="G436" s="55"/>
    </row>
    <row r="437" ht="14.25" customHeight="1">
      <c r="G437" s="55"/>
    </row>
    <row r="438" ht="14.25" customHeight="1">
      <c r="G438" s="55"/>
    </row>
    <row r="439" ht="14.25" customHeight="1">
      <c r="G439" s="55"/>
    </row>
    <row r="440" ht="14.25" customHeight="1">
      <c r="G440" s="55"/>
    </row>
    <row r="441" ht="14.25" customHeight="1">
      <c r="G441" s="55"/>
    </row>
    <row r="442" ht="14.25" customHeight="1">
      <c r="G442" s="55"/>
    </row>
    <row r="443" ht="14.25" customHeight="1">
      <c r="G443" s="55"/>
    </row>
    <row r="444" ht="14.25" customHeight="1">
      <c r="G444" s="55"/>
    </row>
    <row r="445" ht="14.25" customHeight="1">
      <c r="G445" s="55"/>
    </row>
    <row r="446" ht="14.25" customHeight="1">
      <c r="G446" s="55"/>
    </row>
    <row r="447" ht="14.25" customHeight="1">
      <c r="G447" s="55"/>
    </row>
    <row r="448" ht="14.25" customHeight="1">
      <c r="G448" s="55"/>
    </row>
    <row r="449" ht="14.25" customHeight="1">
      <c r="G449" s="55"/>
    </row>
    <row r="450" ht="14.25" customHeight="1">
      <c r="G450" s="55"/>
    </row>
    <row r="451" ht="14.25" customHeight="1">
      <c r="G451" s="55"/>
    </row>
    <row r="452" ht="14.25" customHeight="1">
      <c r="G452" s="55"/>
    </row>
    <row r="453" ht="14.25" customHeight="1">
      <c r="G453" s="55"/>
    </row>
    <row r="454" ht="14.25" customHeight="1">
      <c r="G454" s="55"/>
    </row>
    <row r="455" ht="14.25" customHeight="1">
      <c r="G455" s="55"/>
    </row>
    <row r="456" ht="14.25" customHeight="1">
      <c r="G456" s="55"/>
    </row>
    <row r="457" ht="14.25" customHeight="1">
      <c r="G457" s="55"/>
    </row>
    <row r="458" ht="14.25" customHeight="1">
      <c r="G458" s="55"/>
    </row>
    <row r="459" ht="14.25" customHeight="1">
      <c r="G459" s="55"/>
    </row>
    <row r="460" ht="14.25" customHeight="1">
      <c r="G460" s="55"/>
    </row>
    <row r="461" ht="14.25" customHeight="1">
      <c r="G461" s="55"/>
    </row>
    <row r="462" ht="14.25" customHeight="1">
      <c r="G462" s="55"/>
    </row>
    <row r="463" ht="14.25" customHeight="1">
      <c r="G463" s="55"/>
    </row>
    <row r="464" ht="14.25" customHeight="1">
      <c r="G464" s="55"/>
    </row>
    <row r="465" ht="14.25" customHeight="1">
      <c r="G465" s="55"/>
    </row>
    <row r="466" ht="14.25" customHeight="1">
      <c r="G466" s="55"/>
    </row>
    <row r="467" ht="14.25" customHeight="1">
      <c r="G467" s="55"/>
    </row>
    <row r="468" ht="14.25" customHeight="1">
      <c r="G468" s="55"/>
    </row>
    <row r="469" ht="14.25" customHeight="1">
      <c r="G469" s="55"/>
    </row>
    <row r="470" ht="14.25" customHeight="1">
      <c r="G470" s="55"/>
    </row>
    <row r="471" ht="14.25" customHeight="1">
      <c r="G471" s="55"/>
    </row>
    <row r="472" ht="14.25" customHeight="1">
      <c r="G472" s="55"/>
    </row>
    <row r="473" ht="14.25" customHeight="1">
      <c r="G473" s="55"/>
    </row>
    <row r="474" ht="14.25" customHeight="1">
      <c r="G474" s="55"/>
    </row>
    <row r="475" ht="14.25" customHeight="1">
      <c r="G475" s="55"/>
    </row>
    <row r="476" ht="14.25" customHeight="1">
      <c r="G476" s="55"/>
    </row>
    <row r="477" ht="14.25" customHeight="1">
      <c r="G477" s="55"/>
    </row>
    <row r="478" ht="14.25" customHeight="1">
      <c r="G478" s="55"/>
    </row>
    <row r="479" ht="14.25" customHeight="1">
      <c r="G479" s="55"/>
    </row>
    <row r="480" ht="14.25" customHeight="1">
      <c r="G480" s="55"/>
    </row>
    <row r="481" ht="14.25" customHeight="1">
      <c r="G481" s="55"/>
    </row>
    <row r="482" ht="14.25" customHeight="1">
      <c r="G482" s="55"/>
    </row>
    <row r="483" ht="14.25" customHeight="1">
      <c r="G483" s="55"/>
    </row>
    <row r="484" ht="14.25" customHeight="1">
      <c r="G484" s="55"/>
    </row>
    <row r="485" ht="14.25" customHeight="1">
      <c r="G485" s="55"/>
    </row>
    <row r="486" ht="14.25" customHeight="1">
      <c r="G486" s="55"/>
    </row>
    <row r="487" ht="14.25" customHeight="1">
      <c r="G487" s="55"/>
    </row>
    <row r="488" ht="14.25" customHeight="1">
      <c r="G488" s="55"/>
    </row>
    <row r="489" ht="14.25" customHeight="1">
      <c r="G489" s="55"/>
    </row>
    <row r="490" ht="14.25" customHeight="1">
      <c r="G490" s="55"/>
    </row>
    <row r="491" ht="14.25" customHeight="1">
      <c r="G491" s="55"/>
    </row>
    <row r="492" ht="14.25" customHeight="1">
      <c r="G492" s="55"/>
    </row>
    <row r="493" ht="14.25" customHeight="1">
      <c r="G493" s="55"/>
    </row>
    <row r="494" ht="14.25" customHeight="1">
      <c r="G494" s="55"/>
    </row>
    <row r="495" ht="14.25" customHeight="1">
      <c r="G495" s="55"/>
    </row>
    <row r="496" ht="14.25" customHeight="1">
      <c r="G496" s="55"/>
    </row>
    <row r="497" ht="14.25" customHeight="1">
      <c r="G497" s="55"/>
    </row>
    <row r="498" ht="14.25" customHeight="1">
      <c r="G498" s="55"/>
    </row>
    <row r="499" ht="14.25" customHeight="1">
      <c r="G499" s="55"/>
    </row>
    <row r="500" ht="14.25" customHeight="1">
      <c r="G500" s="55"/>
    </row>
    <row r="501" ht="14.25" customHeight="1">
      <c r="G501" s="55"/>
    </row>
    <row r="502" ht="14.25" customHeight="1">
      <c r="G502" s="55"/>
    </row>
    <row r="503" ht="14.25" customHeight="1">
      <c r="G503" s="55"/>
    </row>
    <row r="504" ht="14.25" customHeight="1">
      <c r="G504" s="55"/>
    </row>
    <row r="505" ht="14.25" customHeight="1">
      <c r="G505" s="55"/>
    </row>
    <row r="506" ht="14.25" customHeight="1">
      <c r="G506" s="55"/>
    </row>
    <row r="507" ht="14.25" customHeight="1">
      <c r="G507" s="55"/>
    </row>
    <row r="508" ht="14.25" customHeight="1">
      <c r="G508" s="55"/>
    </row>
    <row r="509" ht="14.25" customHeight="1">
      <c r="G509" s="55"/>
    </row>
    <row r="510" ht="14.25" customHeight="1">
      <c r="G510" s="55"/>
    </row>
    <row r="511" ht="14.25" customHeight="1">
      <c r="G511" s="55"/>
    </row>
    <row r="512" ht="14.25" customHeight="1">
      <c r="G512" s="55"/>
    </row>
    <row r="513" ht="14.25" customHeight="1">
      <c r="G513" s="55"/>
    </row>
    <row r="514" ht="14.25" customHeight="1">
      <c r="G514" s="55"/>
    </row>
    <row r="515" ht="14.25" customHeight="1">
      <c r="G515" s="55"/>
    </row>
    <row r="516" ht="14.25" customHeight="1">
      <c r="G516" s="55"/>
    </row>
    <row r="517" ht="14.25" customHeight="1">
      <c r="G517" s="55"/>
    </row>
    <row r="518" ht="14.25" customHeight="1">
      <c r="G518" s="55"/>
    </row>
    <row r="519" ht="14.25" customHeight="1">
      <c r="G519" s="55"/>
    </row>
    <row r="520" ht="14.25" customHeight="1">
      <c r="G520" s="55"/>
    </row>
    <row r="521" ht="14.25" customHeight="1">
      <c r="G521" s="55"/>
    </row>
    <row r="522" ht="14.25" customHeight="1">
      <c r="G522" s="55"/>
    </row>
    <row r="523" ht="14.25" customHeight="1">
      <c r="G523" s="55"/>
    </row>
    <row r="524" ht="14.25" customHeight="1">
      <c r="G524" s="55"/>
    </row>
    <row r="525" ht="14.25" customHeight="1">
      <c r="G525" s="55"/>
    </row>
    <row r="526" ht="14.25" customHeight="1">
      <c r="G526" s="55"/>
    </row>
    <row r="527" ht="14.25" customHeight="1">
      <c r="G527" s="55"/>
    </row>
    <row r="528" ht="14.25" customHeight="1">
      <c r="G528" s="55"/>
    </row>
    <row r="529" ht="14.25" customHeight="1">
      <c r="G529" s="55"/>
    </row>
    <row r="530" ht="14.25" customHeight="1">
      <c r="G530" s="55"/>
    </row>
    <row r="531" ht="14.25" customHeight="1">
      <c r="G531" s="55"/>
    </row>
    <row r="532" ht="14.25" customHeight="1">
      <c r="G532" s="55"/>
    </row>
    <row r="533" ht="14.25" customHeight="1">
      <c r="G533" s="55"/>
    </row>
    <row r="534" ht="14.25" customHeight="1">
      <c r="G534" s="55"/>
    </row>
    <row r="535" ht="14.25" customHeight="1">
      <c r="G535" s="55"/>
    </row>
    <row r="536" ht="14.25" customHeight="1">
      <c r="G536" s="55"/>
    </row>
    <row r="537" ht="14.25" customHeight="1">
      <c r="G537" s="55"/>
    </row>
    <row r="538" ht="14.25" customHeight="1">
      <c r="G538" s="55"/>
    </row>
    <row r="539" ht="14.25" customHeight="1">
      <c r="G539" s="55"/>
    </row>
    <row r="540" ht="14.25" customHeight="1">
      <c r="G540" s="55"/>
    </row>
    <row r="541" ht="14.25" customHeight="1">
      <c r="G541" s="55"/>
    </row>
    <row r="542" ht="14.25" customHeight="1">
      <c r="G542" s="55"/>
    </row>
    <row r="543" ht="14.25" customHeight="1">
      <c r="G543" s="55"/>
    </row>
    <row r="544" ht="14.25" customHeight="1">
      <c r="G544" s="55"/>
    </row>
    <row r="545" ht="14.25" customHeight="1">
      <c r="G545" s="55"/>
    </row>
    <row r="546" ht="14.25" customHeight="1">
      <c r="G546" s="55"/>
    </row>
    <row r="547" ht="14.25" customHeight="1">
      <c r="G547" s="55"/>
    </row>
    <row r="548" ht="14.25" customHeight="1">
      <c r="G548" s="55"/>
    </row>
    <row r="549" ht="14.25" customHeight="1">
      <c r="G549" s="55"/>
    </row>
    <row r="550" ht="14.25" customHeight="1">
      <c r="G550" s="55"/>
    </row>
    <row r="551" ht="14.25" customHeight="1">
      <c r="G551" s="55"/>
    </row>
    <row r="552" ht="14.25" customHeight="1">
      <c r="G552" s="55"/>
    </row>
    <row r="553" ht="14.25" customHeight="1">
      <c r="G553" s="55"/>
    </row>
    <row r="554" ht="14.25" customHeight="1">
      <c r="G554" s="55"/>
    </row>
    <row r="555" ht="14.25" customHeight="1">
      <c r="G555" s="55"/>
    </row>
    <row r="556" ht="14.25" customHeight="1">
      <c r="G556" s="55"/>
    </row>
    <row r="557" ht="14.25" customHeight="1">
      <c r="G557" s="55"/>
    </row>
    <row r="558" ht="14.25" customHeight="1">
      <c r="G558" s="55"/>
    </row>
    <row r="559" ht="14.25" customHeight="1">
      <c r="G559" s="55"/>
    </row>
    <row r="560" ht="14.25" customHeight="1">
      <c r="G560" s="55"/>
    </row>
    <row r="561" ht="14.25" customHeight="1">
      <c r="G561" s="55"/>
    </row>
    <row r="562" ht="14.25" customHeight="1">
      <c r="G562" s="55"/>
    </row>
    <row r="563" ht="14.25" customHeight="1">
      <c r="G563" s="55"/>
    </row>
    <row r="564" ht="14.25" customHeight="1">
      <c r="G564" s="55"/>
    </row>
    <row r="565" ht="14.25" customHeight="1">
      <c r="G565" s="55"/>
    </row>
    <row r="566" ht="14.25" customHeight="1">
      <c r="G566" s="55"/>
    </row>
    <row r="567" ht="14.25" customHeight="1">
      <c r="G567" s="55"/>
    </row>
    <row r="568" ht="14.25" customHeight="1">
      <c r="G568" s="55"/>
    </row>
    <row r="569" ht="14.25" customHeight="1">
      <c r="G569" s="55"/>
    </row>
    <row r="570" ht="14.25" customHeight="1">
      <c r="G570" s="55"/>
    </row>
    <row r="571" ht="14.25" customHeight="1">
      <c r="G571" s="55"/>
    </row>
    <row r="572" ht="14.25" customHeight="1">
      <c r="G572" s="55"/>
    </row>
    <row r="573" ht="14.25" customHeight="1">
      <c r="G573" s="55"/>
    </row>
    <row r="574" ht="14.25" customHeight="1">
      <c r="G574" s="55"/>
    </row>
    <row r="575" ht="14.25" customHeight="1">
      <c r="G575" s="55"/>
    </row>
    <row r="576" ht="14.25" customHeight="1">
      <c r="G576" s="55"/>
    </row>
    <row r="577" ht="14.25" customHeight="1">
      <c r="G577" s="55"/>
    </row>
    <row r="578" ht="14.25" customHeight="1">
      <c r="G578" s="55"/>
    </row>
    <row r="579" ht="14.25" customHeight="1">
      <c r="G579" s="55"/>
    </row>
    <row r="580" ht="14.25" customHeight="1">
      <c r="G580" s="55"/>
    </row>
    <row r="581" ht="14.25" customHeight="1">
      <c r="G581" s="55"/>
    </row>
    <row r="582" ht="14.25" customHeight="1">
      <c r="G582" s="55"/>
    </row>
    <row r="583" ht="14.25" customHeight="1">
      <c r="G583" s="55"/>
    </row>
    <row r="584" ht="14.25" customHeight="1">
      <c r="G584" s="55"/>
    </row>
    <row r="585" ht="14.25" customHeight="1">
      <c r="G585" s="55"/>
    </row>
    <row r="586" ht="14.25" customHeight="1">
      <c r="G586" s="55"/>
    </row>
    <row r="587" ht="14.25" customHeight="1">
      <c r="G587" s="55"/>
    </row>
    <row r="588" ht="14.25" customHeight="1">
      <c r="G588" s="55"/>
    </row>
    <row r="589" ht="14.25" customHeight="1">
      <c r="G589" s="55"/>
    </row>
    <row r="590" ht="14.25" customHeight="1">
      <c r="G590" s="55"/>
    </row>
    <row r="591" ht="14.25" customHeight="1">
      <c r="G591" s="55"/>
    </row>
    <row r="592" ht="14.25" customHeight="1">
      <c r="G592" s="55"/>
    </row>
    <row r="593" ht="14.25" customHeight="1">
      <c r="G593" s="55"/>
    </row>
    <row r="594" ht="14.25" customHeight="1">
      <c r="G594" s="55"/>
    </row>
    <row r="595" ht="14.25" customHeight="1">
      <c r="G595" s="55"/>
    </row>
    <row r="596" ht="14.25" customHeight="1">
      <c r="G596" s="55"/>
    </row>
    <row r="597" ht="14.25" customHeight="1">
      <c r="G597" s="55"/>
    </row>
    <row r="598" ht="14.25" customHeight="1">
      <c r="G598" s="55"/>
    </row>
    <row r="599" ht="14.25" customHeight="1">
      <c r="G599" s="55"/>
    </row>
    <row r="600" ht="14.25" customHeight="1">
      <c r="G600" s="55"/>
    </row>
    <row r="601" ht="14.25" customHeight="1">
      <c r="G601" s="55"/>
    </row>
    <row r="602" ht="14.25" customHeight="1">
      <c r="G602" s="55"/>
    </row>
    <row r="603" ht="14.25" customHeight="1">
      <c r="G603" s="55"/>
    </row>
    <row r="604" ht="14.25" customHeight="1">
      <c r="G604" s="55"/>
    </row>
    <row r="605" ht="14.25" customHeight="1">
      <c r="G605" s="55"/>
    </row>
    <row r="606" ht="14.25" customHeight="1">
      <c r="G606" s="55"/>
    </row>
    <row r="607" ht="14.25" customHeight="1">
      <c r="G607" s="55"/>
    </row>
    <row r="608" ht="14.25" customHeight="1">
      <c r="G608" s="55"/>
    </row>
    <row r="609" ht="14.25" customHeight="1">
      <c r="G609" s="55"/>
    </row>
    <row r="610" ht="14.25" customHeight="1">
      <c r="G610" s="55"/>
    </row>
    <row r="611" ht="14.25" customHeight="1">
      <c r="G611" s="55"/>
    </row>
    <row r="612" ht="14.25" customHeight="1">
      <c r="G612" s="55"/>
    </row>
    <row r="613" ht="14.25" customHeight="1">
      <c r="G613" s="55"/>
    </row>
    <row r="614" ht="14.25" customHeight="1">
      <c r="G614" s="55"/>
    </row>
    <row r="615" ht="14.25" customHeight="1">
      <c r="G615" s="55"/>
    </row>
    <row r="616" ht="14.25" customHeight="1">
      <c r="G616" s="55"/>
    </row>
    <row r="617" ht="14.25" customHeight="1">
      <c r="G617" s="55"/>
    </row>
    <row r="618" ht="14.25" customHeight="1">
      <c r="G618" s="55"/>
    </row>
    <row r="619" ht="14.25" customHeight="1">
      <c r="G619" s="55"/>
    </row>
    <row r="620" ht="14.25" customHeight="1">
      <c r="G620" s="55"/>
    </row>
    <row r="621" ht="14.25" customHeight="1">
      <c r="G621" s="55"/>
    </row>
    <row r="622" ht="14.25" customHeight="1">
      <c r="G622" s="55"/>
    </row>
    <row r="623" ht="14.25" customHeight="1">
      <c r="G623" s="55"/>
    </row>
    <row r="624" ht="14.25" customHeight="1">
      <c r="G624" s="55"/>
    </row>
    <row r="625" ht="14.25" customHeight="1">
      <c r="G625" s="55"/>
    </row>
    <row r="626" ht="14.25" customHeight="1">
      <c r="G626" s="55"/>
    </row>
    <row r="627" ht="14.25" customHeight="1">
      <c r="G627" s="55"/>
    </row>
    <row r="628" ht="14.25" customHeight="1">
      <c r="G628" s="55"/>
    </row>
    <row r="629" ht="14.25" customHeight="1">
      <c r="G629" s="55"/>
    </row>
    <row r="630" ht="14.25" customHeight="1">
      <c r="G630" s="55"/>
    </row>
    <row r="631" ht="14.25" customHeight="1">
      <c r="G631" s="55"/>
    </row>
    <row r="632" ht="14.25" customHeight="1">
      <c r="G632" s="55"/>
    </row>
    <row r="633" ht="14.25" customHeight="1">
      <c r="G633" s="55"/>
    </row>
    <row r="634" ht="14.25" customHeight="1">
      <c r="G634" s="55"/>
    </row>
    <row r="635" ht="14.25" customHeight="1">
      <c r="G635" s="55"/>
    </row>
    <row r="636" ht="14.25" customHeight="1">
      <c r="G636" s="55"/>
    </row>
    <row r="637" ht="14.25" customHeight="1">
      <c r="G637" s="55"/>
    </row>
    <row r="638" ht="14.25" customHeight="1">
      <c r="G638" s="55"/>
    </row>
    <row r="639" ht="14.25" customHeight="1">
      <c r="G639" s="55"/>
    </row>
    <row r="640" ht="14.25" customHeight="1">
      <c r="G640" s="55"/>
    </row>
    <row r="641" ht="14.25" customHeight="1">
      <c r="G641" s="55"/>
    </row>
    <row r="642" ht="14.25" customHeight="1">
      <c r="G642" s="55"/>
    </row>
    <row r="643" ht="14.25" customHeight="1">
      <c r="G643" s="55"/>
    </row>
    <row r="644" ht="14.25" customHeight="1">
      <c r="G644" s="55"/>
    </row>
    <row r="645" ht="14.25" customHeight="1">
      <c r="G645" s="55"/>
    </row>
    <row r="646" ht="14.25" customHeight="1">
      <c r="G646" s="55"/>
    </row>
    <row r="647" ht="14.25" customHeight="1">
      <c r="G647" s="55"/>
    </row>
    <row r="648" ht="14.25" customHeight="1">
      <c r="G648" s="55"/>
    </row>
    <row r="649" ht="14.25" customHeight="1">
      <c r="G649" s="55"/>
    </row>
    <row r="650" ht="14.25" customHeight="1">
      <c r="G650" s="55"/>
    </row>
    <row r="651" ht="14.25" customHeight="1">
      <c r="G651" s="55"/>
    </row>
    <row r="652" ht="14.25" customHeight="1">
      <c r="G652" s="55"/>
    </row>
    <row r="653" ht="14.25" customHeight="1">
      <c r="G653" s="55"/>
    </row>
    <row r="654" ht="14.25" customHeight="1">
      <c r="G654" s="55"/>
    </row>
    <row r="655" ht="14.25" customHeight="1">
      <c r="G655" s="55"/>
    </row>
    <row r="656" ht="14.25" customHeight="1">
      <c r="G656" s="55"/>
    </row>
    <row r="657" ht="14.25" customHeight="1">
      <c r="G657" s="55"/>
    </row>
    <row r="658" ht="14.25" customHeight="1">
      <c r="G658" s="55"/>
    </row>
    <row r="659" ht="14.25" customHeight="1">
      <c r="G659" s="55"/>
    </row>
    <row r="660" ht="14.25" customHeight="1">
      <c r="G660" s="55"/>
    </row>
    <row r="661" ht="14.25" customHeight="1">
      <c r="G661" s="55"/>
    </row>
    <row r="662" ht="14.25" customHeight="1">
      <c r="G662" s="55"/>
    </row>
    <row r="663" ht="14.25" customHeight="1">
      <c r="G663" s="55"/>
    </row>
    <row r="664" ht="14.25" customHeight="1">
      <c r="G664" s="55"/>
    </row>
    <row r="665" ht="14.25" customHeight="1">
      <c r="G665" s="55"/>
    </row>
    <row r="666" ht="14.25" customHeight="1">
      <c r="G666" s="55"/>
    </row>
    <row r="667" ht="14.25" customHeight="1">
      <c r="G667" s="55"/>
    </row>
    <row r="668" ht="14.25" customHeight="1">
      <c r="G668" s="55"/>
    </row>
    <row r="669" ht="14.25" customHeight="1">
      <c r="G669" s="55"/>
    </row>
    <row r="670" ht="14.25" customHeight="1">
      <c r="G670" s="55"/>
    </row>
    <row r="671" ht="14.25" customHeight="1">
      <c r="G671" s="55"/>
    </row>
    <row r="672" ht="14.25" customHeight="1">
      <c r="G672" s="55"/>
    </row>
    <row r="673" ht="14.25" customHeight="1">
      <c r="G673" s="55"/>
    </row>
    <row r="674" ht="14.25" customHeight="1">
      <c r="G674" s="55"/>
    </row>
    <row r="675" ht="14.25" customHeight="1">
      <c r="G675" s="55"/>
    </row>
    <row r="676" ht="14.25" customHeight="1">
      <c r="G676" s="55"/>
    </row>
    <row r="677" ht="14.25" customHeight="1">
      <c r="G677" s="55"/>
    </row>
    <row r="678" ht="14.25" customHeight="1">
      <c r="G678" s="55"/>
    </row>
    <row r="679" ht="14.25" customHeight="1">
      <c r="G679" s="55"/>
    </row>
    <row r="680" ht="14.25" customHeight="1">
      <c r="G680" s="55"/>
    </row>
    <row r="681" ht="14.25" customHeight="1">
      <c r="G681" s="55"/>
    </row>
    <row r="682" ht="14.25" customHeight="1">
      <c r="G682" s="55"/>
    </row>
    <row r="683" ht="14.25" customHeight="1">
      <c r="G683" s="55"/>
    </row>
    <row r="684" ht="14.25" customHeight="1">
      <c r="G684" s="55"/>
    </row>
    <row r="685" ht="14.25" customHeight="1">
      <c r="G685" s="55"/>
    </row>
    <row r="686" ht="14.25" customHeight="1">
      <c r="G686" s="55"/>
    </row>
    <row r="687" ht="14.25" customHeight="1">
      <c r="G687" s="55"/>
    </row>
    <row r="688" ht="14.25" customHeight="1">
      <c r="G688" s="55"/>
    </row>
    <row r="689" ht="14.25" customHeight="1">
      <c r="G689" s="55"/>
    </row>
    <row r="690" ht="14.25" customHeight="1">
      <c r="G690" s="55"/>
    </row>
    <row r="691" ht="14.25" customHeight="1">
      <c r="G691" s="55"/>
    </row>
    <row r="692" ht="14.25" customHeight="1">
      <c r="G692" s="55"/>
    </row>
    <row r="693" ht="14.25" customHeight="1">
      <c r="G693" s="55"/>
    </row>
    <row r="694" ht="14.25" customHeight="1">
      <c r="G694" s="55"/>
    </row>
    <row r="695" ht="14.25" customHeight="1">
      <c r="G695" s="55"/>
    </row>
    <row r="696" ht="14.25" customHeight="1">
      <c r="G696" s="55"/>
    </row>
    <row r="697" ht="14.25" customHeight="1">
      <c r="G697" s="55"/>
    </row>
    <row r="698" ht="14.25" customHeight="1">
      <c r="G698" s="55"/>
    </row>
    <row r="699" ht="14.25" customHeight="1">
      <c r="G699" s="55"/>
    </row>
    <row r="700" ht="14.25" customHeight="1">
      <c r="G700" s="55"/>
    </row>
    <row r="701" ht="14.25" customHeight="1">
      <c r="G701" s="55"/>
    </row>
    <row r="702" ht="14.25" customHeight="1">
      <c r="G702" s="55"/>
    </row>
    <row r="703" ht="14.25" customHeight="1">
      <c r="G703" s="55"/>
    </row>
    <row r="704" ht="14.25" customHeight="1">
      <c r="G704" s="55"/>
    </row>
    <row r="705" ht="14.25" customHeight="1">
      <c r="G705" s="55"/>
    </row>
    <row r="706" ht="14.25" customHeight="1">
      <c r="G706" s="55"/>
    </row>
    <row r="707" ht="14.25" customHeight="1">
      <c r="G707" s="55"/>
    </row>
    <row r="708" ht="14.25" customHeight="1">
      <c r="G708" s="55"/>
    </row>
    <row r="709" ht="14.25" customHeight="1">
      <c r="G709" s="55"/>
    </row>
    <row r="710" ht="14.25" customHeight="1">
      <c r="G710" s="55"/>
    </row>
    <row r="711" ht="14.25" customHeight="1">
      <c r="G711" s="55"/>
    </row>
    <row r="712" ht="14.25" customHeight="1">
      <c r="G712" s="55"/>
    </row>
    <row r="713" ht="14.25" customHeight="1">
      <c r="G713" s="55"/>
    </row>
    <row r="714" ht="14.25" customHeight="1">
      <c r="G714" s="55"/>
    </row>
    <row r="715" ht="14.25" customHeight="1">
      <c r="G715" s="55"/>
    </row>
    <row r="716" ht="14.25" customHeight="1">
      <c r="G716" s="55"/>
    </row>
    <row r="717" ht="14.25" customHeight="1">
      <c r="G717" s="55"/>
    </row>
    <row r="718" ht="14.25" customHeight="1">
      <c r="G718" s="55"/>
    </row>
    <row r="719" ht="14.25" customHeight="1">
      <c r="G719" s="55"/>
    </row>
    <row r="720" ht="14.25" customHeight="1">
      <c r="G720" s="55"/>
    </row>
    <row r="721" ht="14.25" customHeight="1">
      <c r="G721" s="55"/>
    </row>
    <row r="722" ht="14.25" customHeight="1">
      <c r="G722" s="55"/>
    </row>
    <row r="723" ht="14.25" customHeight="1">
      <c r="G723" s="55"/>
    </row>
    <row r="724" ht="14.25" customHeight="1">
      <c r="G724" s="55"/>
    </row>
    <row r="725" ht="14.25" customHeight="1">
      <c r="G725" s="55"/>
    </row>
    <row r="726" ht="14.25" customHeight="1">
      <c r="G726" s="55"/>
    </row>
    <row r="727" ht="14.25" customHeight="1">
      <c r="G727" s="55"/>
    </row>
    <row r="728" ht="14.25" customHeight="1">
      <c r="G728" s="55"/>
    </row>
    <row r="729" ht="14.25" customHeight="1">
      <c r="G729" s="55"/>
    </row>
    <row r="730" ht="14.25" customHeight="1">
      <c r="G730" s="55"/>
    </row>
    <row r="731" ht="14.25" customHeight="1">
      <c r="G731" s="55"/>
    </row>
    <row r="732" ht="14.25" customHeight="1">
      <c r="G732" s="55"/>
    </row>
    <row r="733" ht="14.25" customHeight="1">
      <c r="G733" s="55"/>
    </row>
    <row r="734" ht="14.25" customHeight="1">
      <c r="G734" s="55"/>
    </row>
    <row r="735" ht="14.25" customHeight="1">
      <c r="G735" s="55"/>
    </row>
    <row r="736" ht="14.25" customHeight="1">
      <c r="G736" s="55"/>
    </row>
    <row r="737" ht="14.25" customHeight="1">
      <c r="G737" s="55"/>
    </row>
    <row r="738" ht="14.25" customHeight="1">
      <c r="G738" s="55"/>
    </row>
    <row r="739" ht="14.25" customHeight="1">
      <c r="G739" s="55"/>
    </row>
    <row r="740" ht="14.25" customHeight="1">
      <c r="G740" s="55"/>
    </row>
    <row r="741" ht="14.25" customHeight="1">
      <c r="G741" s="55"/>
    </row>
    <row r="742" ht="14.25" customHeight="1">
      <c r="G742" s="55"/>
    </row>
    <row r="743" ht="14.25" customHeight="1">
      <c r="G743" s="55"/>
    </row>
    <row r="744" ht="14.25" customHeight="1">
      <c r="G744" s="55"/>
    </row>
    <row r="745" ht="14.25" customHeight="1">
      <c r="G745" s="55"/>
    </row>
    <row r="746" ht="14.25" customHeight="1">
      <c r="G746" s="55"/>
    </row>
    <row r="747" ht="14.25" customHeight="1">
      <c r="G747" s="55"/>
    </row>
    <row r="748" ht="14.25" customHeight="1">
      <c r="G748" s="55"/>
    </row>
    <row r="749" ht="14.25" customHeight="1">
      <c r="G749" s="55"/>
    </row>
    <row r="750" ht="14.25" customHeight="1">
      <c r="G750" s="55"/>
    </row>
    <row r="751" ht="14.25" customHeight="1">
      <c r="G751" s="55"/>
    </row>
    <row r="752" ht="14.25" customHeight="1">
      <c r="G752" s="55"/>
    </row>
    <row r="753" ht="14.25" customHeight="1">
      <c r="G753" s="55"/>
    </row>
    <row r="754" ht="14.25" customHeight="1">
      <c r="G754" s="55"/>
    </row>
    <row r="755" ht="14.25" customHeight="1">
      <c r="G755" s="55"/>
    </row>
    <row r="756" ht="14.25" customHeight="1">
      <c r="G756" s="55"/>
    </row>
    <row r="757" ht="14.25" customHeight="1">
      <c r="G757" s="55"/>
    </row>
    <row r="758" ht="14.25" customHeight="1">
      <c r="G758" s="55"/>
    </row>
    <row r="759" ht="14.25" customHeight="1">
      <c r="G759" s="55"/>
    </row>
    <row r="760" ht="14.25" customHeight="1">
      <c r="G760" s="55"/>
    </row>
    <row r="761" ht="14.25" customHeight="1">
      <c r="G761" s="55"/>
    </row>
    <row r="762" ht="14.25" customHeight="1">
      <c r="G762" s="55"/>
    </row>
    <row r="763" ht="14.25" customHeight="1">
      <c r="G763" s="55"/>
    </row>
    <row r="764" ht="14.25" customHeight="1">
      <c r="G764" s="55"/>
    </row>
    <row r="765" ht="14.25" customHeight="1">
      <c r="G765" s="55"/>
    </row>
    <row r="766" ht="14.25" customHeight="1">
      <c r="G766" s="55"/>
    </row>
    <row r="767" ht="14.25" customHeight="1">
      <c r="G767" s="55"/>
    </row>
    <row r="768" ht="14.25" customHeight="1">
      <c r="G768" s="55"/>
    </row>
    <row r="769" ht="14.25" customHeight="1">
      <c r="G769" s="55"/>
    </row>
    <row r="770" ht="14.25" customHeight="1">
      <c r="G770" s="55"/>
    </row>
    <row r="771" ht="14.25" customHeight="1">
      <c r="G771" s="55"/>
    </row>
    <row r="772" ht="14.25" customHeight="1">
      <c r="G772" s="55"/>
    </row>
    <row r="773" ht="14.25" customHeight="1">
      <c r="G773" s="55"/>
    </row>
    <row r="774" ht="14.25" customHeight="1">
      <c r="G774" s="55"/>
    </row>
    <row r="775" ht="14.25" customHeight="1">
      <c r="G775" s="55"/>
    </row>
    <row r="776" ht="14.25" customHeight="1">
      <c r="G776" s="55"/>
    </row>
    <row r="777" ht="14.25" customHeight="1">
      <c r="G777" s="55"/>
    </row>
    <row r="778" ht="14.25" customHeight="1">
      <c r="G778" s="55"/>
    </row>
    <row r="779" ht="14.25" customHeight="1">
      <c r="G779" s="55"/>
    </row>
    <row r="780" ht="14.25" customHeight="1">
      <c r="G780" s="55"/>
    </row>
    <row r="781" ht="14.25" customHeight="1">
      <c r="G781" s="55"/>
    </row>
    <row r="782" ht="14.25" customHeight="1">
      <c r="G782" s="55"/>
    </row>
    <row r="783" ht="14.25" customHeight="1">
      <c r="G783" s="55"/>
    </row>
    <row r="784" ht="14.25" customHeight="1">
      <c r="G784" s="55"/>
    </row>
    <row r="785" ht="14.25" customHeight="1">
      <c r="G785" s="55"/>
    </row>
    <row r="786" ht="14.25" customHeight="1">
      <c r="G786" s="55"/>
    </row>
    <row r="787" ht="14.25" customHeight="1">
      <c r="G787" s="55"/>
    </row>
    <row r="788" ht="14.25" customHeight="1">
      <c r="G788" s="55"/>
    </row>
    <row r="789" ht="14.25" customHeight="1">
      <c r="G789" s="55"/>
    </row>
    <row r="790" ht="14.25" customHeight="1">
      <c r="G790" s="55"/>
    </row>
    <row r="791" ht="14.25" customHeight="1">
      <c r="G791" s="55"/>
    </row>
    <row r="792" ht="14.25" customHeight="1">
      <c r="G792" s="55"/>
    </row>
    <row r="793" ht="14.25" customHeight="1">
      <c r="G793" s="55"/>
    </row>
    <row r="794" ht="14.25" customHeight="1">
      <c r="G794" s="55"/>
    </row>
    <row r="795" ht="14.25" customHeight="1">
      <c r="G795" s="55"/>
    </row>
    <row r="796" ht="14.25" customHeight="1">
      <c r="G796" s="55"/>
    </row>
    <row r="797" ht="14.25" customHeight="1">
      <c r="G797" s="55"/>
    </row>
    <row r="798" ht="14.25" customHeight="1">
      <c r="G798" s="55"/>
    </row>
    <row r="799" ht="14.25" customHeight="1">
      <c r="G799" s="55"/>
    </row>
    <row r="800" ht="14.25" customHeight="1">
      <c r="G800" s="55"/>
    </row>
    <row r="801" ht="14.25" customHeight="1">
      <c r="G801" s="55"/>
    </row>
    <row r="802" ht="14.25" customHeight="1">
      <c r="G802" s="55"/>
    </row>
    <row r="803" ht="14.25" customHeight="1">
      <c r="G803" s="55"/>
    </row>
    <row r="804" ht="14.25" customHeight="1">
      <c r="G804" s="55"/>
    </row>
    <row r="805" ht="14.25" customHeight="1">
      <c r="G805" s="55"/>
    </row>
    <row r="806" ht="14.25" customHeight="1">
      <c r="G806" s="55"/>
    </row>
    <row r="807" ht="14.25" customHeight="1">
      <c r="G807" s="55"/>
    </row>
    <row r="808" ht="14.25" customHeight="1">
      <c r="G808" s="55"/>
    </row>
    <row r="809" ht="14.25" customHeight="1">
      <c r="G809" s="55"/>
    </row>
    <row r="810" ht="14.25" customHeight="1">
      <c r="G810" s="55"/>
    </row>
    <row r="811" ht="14.25" customHeight="1">
      <c r="G811" s="55"/>
    </row>
    <row r="812" ht="14.25" customHeight="1">
      <c r="G812" s="55"/>
    </row>
    <row r="813" ht="14.25" customHeight="1">
      <c r="G813" s="55"/>
    </row>
    <row r="814" ht="14.25" customHeight="1">
      <c r="G814" s="55"/>
    </row>
    <row r="815" ht="14.25" customHeight="1">
      <c r="G815" s="55"/>
    </row>
    <row r="816" ht="14.25" customHeight="1">
      <c r="G816" s="55"/>
    </row>
    <row r="817" ht="14.25" customHeight="1">
      <c r="G817" s="55"/>
    </row>
    <row r="818" ht="14.25" customHeight="1">
      <c r="G818" s="55"/>
    </row>
    <row r="819" ht="14.25" customHeight="1">
      <c r="G819" s="55"/>
    </row>
    <row r="820" ht="14.25" customHeight="1">
      <c r="G820" s="55"/>
    </row>
    <row r="821" ht="14.25" customHeight="1">
      <c r="G821" s="55"/>
    </row>
    <row r="822" ht="14.25" customHeight="1">
      <c r="G822" s="55"/>
    </row>
    <row r="823" ht="14.25" customHeight="1">
      <c r="G823" s="55"/>
    </row>
    <row r="824" ht="14.25" customHeight="1">
      <c r="G824" s="55"/>
    </row>
    <row r="825" ht="14.25" customHeight="1">
      <c r="G825" s="55"/>
    </row>
    <row r="826" ht="14.25" customHeight="1">
      <c r="G826" s="55"/>
    </row>
    <row r="827" ht="14.25" customHeight="1">
      <c r="G827" s="55"/>
    </row>
    <row r="828" ht="14.25" customHeight="1">
      <c r="G828" s="55"/>
    </row>
    <row r="829" ht="14.25" customHeight="1">
      <c r="G829" s="55"/>
    </row>
    <row r="830" ht="14.25" customHeight="1">
      <c r="G830" s="55"/>
    </row>
    <row r="831" ht="14.25" customHeight="1">
      <c r="G831" s="55"/>
    </row>
    <row r="832" ht="14.25" customHeight="1">
      <c r="G832" s="55"/>
    </row>
    <row r="833" ht="14.25" customHeight="1">
      <c r="G833" s="55"/>
    </row>
    <row r="834" ht="14.25" customHeight="1">
      <c r="G834" s="55"/>
    </row>
    <row r="835" ht="14.25" customHeight="1">
      <c r="G835" s="55"/>
    </row>
    <row r="836" ht="14.25" customHeight="1">
      <c r="G836" s="55"/>
    </row>
    <row r="837" ht="14.25" customHeight="1">
      <c r="G837" s="55"/>
    </row>
    <row r="838" ht="14.25" customHeight="1">
      <c r="G838" s="55"/>
    </row>
    <row r="839" ht="14.25" customHeight="1">
      <c r="G839" s="55"/>
    </row>
    <row r="840" ht="14.25" customHeight="1">
      <c r="G840" s="55"/>
    </row>
    <row r="841" ht="14.25" customHeight="1">
      <c r="G841" s="55"/>
    </row>
    <row r="842" ht="14.25" customHeight="1">
      <c r="G842" s="55"/>
    </row>
    <row r="843" ht="14.25" customHeight="1">
      <c r="G843" s="55"/>
    </row>
    <row r="844" ht="14.25" customHeight="1">
      <c r="G844" s="55"/>
    </row>
    <row r="845" ht="14.25" customHeight="1">
      <c r="G845" s="55"/>
    </row>
    <row r="846" ht="14.25" customHeight="1">
      <c r="G846" s="55"/>
    </row>
    <row r="847" ht="14.25" customHeight="1">
      <c r="G847" s="55"/>
    </row>
    <row r="848" ht="14.25" customHeight="1">
      <c r="G848" s="55"/>
    </row>
    <row r="849" ht="14.25" customHeight="1">
      <c r="G849" s="55"/>
    </row>
    <row r="850" ht="14.25" customHeight="1">
      <c r="G850" s="55"/>
    </row>
    <row r="851" ht="14.25" customHeight="1">
      <c r="G851" s="55"/>
    </row>
    <row r="852" ht="14.25" customHeight="1">
      <c r="G852" s="55"/>
    </row>
    <row r="853" ht="14.25" customHeight="1">
      <c r="G853" s="55"/>
    </row>
    <row r="854" ht="14.25" customHeight="1">
      <c r="G854" s="55"/>
    </row>
    <row r="855" ht="14.25" customHeight="1">
      <c r="G855" s="55"/>
    </row>
    <row r="856" ht="14.25" customHeight="1">
      <c r="G856" s="55"/>
    </row>
    <row r="857" ht="14.25" customHeight="1">
      <c r="G857" s="55"/>
    </row>
    <row r="858" ht="14.25" customHeight="1">
      <c r="G858" s="55"/>
    </row>
    <row r="859" ht="14.25" customHeight="1">
      <c r="G859" s="55"/>
    </row>
    <row r="860" ht="14.25" customHeight="1">
      <c r="G860" s="55"/>
    </row>
    <row r="861" ht="14.25" customHeight="1">
      <c r="G861" s="55"/>
    </row>
    <row r="862" ht="14.25" customHeight="1">
      <c r="G862" s="55"/>
    </row>
    <row r="863" ht="14.25" customHeight="1">
      <c r="G863" s="55"/>
    </row>
    <row r="864" ht="14.25" customHeight="1">
      <c r="G864" s="55"/>
    </row>
    <row r="865" ht="14.25" customHeight="1">
      <c r="G865" s="55"/>
    </row>
    <row r="866" ht="14.25" customHeight="1">
      <c r="G866" s="55"/>
    </row>
    <row r="867" ht="14.25" customHeight="1">
      <c r="G867" s="55"/>
    </row>
    <row r="868" ht="14.25" customHeight="1">
      <c r="G868" s="55"/>
    </row>
    <row r="869" ht="14.25" customHeight="1">
      <c r="G869" s="55"/>
    </row>
    <row r="870" ht="14.25" customHeight="1">
      <c r="G870" s="55"/>
    </row>
    <row r="871" ht="14.25" customHeight="1">
      <c r="G871" s="55"/>
    </row>
    <row r="872" ht="14.25" customHeight="1">
      <c r="G872" s="55"/>
    </row>
    <row r="873" ht="14.25" customHeight="1">
      <c r="G873" s="55"/>
    </row>
    <row r="874" ht="14.25" customHeight="1">
      <c r="G874" s="55"/>
    </row>
    <row r="875" ht="14.25" customHeight="1">
      <c r="G875" s="55"/>
    </row>
    <row r="876" ht="14.25" customHeight="1">
      <c r="G876" s="55"/>
    </row>
    <row r="877" ht="14.25" customHeight="1">
      <c r="G877" s="55"/>
    </row>
    <row r="878" ht="14.25" customHeight="1">
      <c r="G878" s="55"/>
    </row>
    <row r="879" ht="14.25" customHeight="1">
      <c r="G879" s="55"/>
    </row>
    <row r="880" ht="14.25" customHeight="1">
      <c r="G880" s="55"/>
    </row>
    <row r="881" ht="14.25" customHeight="1">
      <c r="G881" s="55"/>
    </row>
    <row r="882" ht="14.25" customHeight="1">
      <c r="G882" s="55"/>
    </row>
    <row r="883" ht="14.25" customHeight="1">
      <c r="G883" s="55"/>
    </row>
    <row r="884" ht="14.25" customHeight="1">
      <c r="G884" s="55"/>
    </row>
    <row r="885" ht="14.25" customHeight="1">
      <c r="G885" s="55"/>
    </row>
    <row r="886" ht="14.25" customHeight="1">
      <c r="G886" s="55"/>
    </row>
    <row r="887" ht="14.25" customHeight="1">
      <c r="G887" s="55"/>
    </row>
    <row r="888" ht="14.25" customHeight="1">
      <c r="G888" s="55"/>
    </row>
    <row r="889" ht="14.25" customHeight="1">
      <c r="G889" s="55"/>
    </row>
    <row r="890" ht="14.25" customHeight="1">
      <c r="G890" s="55"/>
    </row>
    <row r="891" ht="14.25" customHeight="1">
      <c r="G891" s="55"/>
    </row>
    <row r="892" ht="14.25" customHeight="1">
      <c r="G892" s="55"/>
    </row>
    <row r="893" ht="14.25" customHeight="1">
      <c r="G893" s="55"/>
    </row>
    <row r="894" ht="14.25" customHeight="1">
      <c r="G894" s="55"/>
    </row>
    <row r="895" ht="14.25" customHeight="1">
      <c r="G895" s="55"/>
    </row>
    <row r="896" ht="14.25" customHeight="1">
      <c r="G896" s="55"/>
    </row>
    <row r="897" ht="14.25" customHeight="1">
      <c r="G897" s="55"/>
    </row>
    <row r="898" ht="14.25" customHeight="1">
      <c r="G898" s="55"/>
    </row>
    <row r="899" ht="14.25" customHeight="1">
      <c r="G899" s="55"/>
    </row>
    <row r="900" ht="14.25" customHeight="1">
      <c r="G900" s="55"/>
    </row>
    <row r="901" ht="14.25" customHeight="1">
      <c r="G901" s="55"/>
    </row>
    <row r="902" ht="14.25" customHeight="1">
      <c r="G902" s="55"/>
    </row>
    <row r="903" ht="14.25" customHeight="1">
      <c r="G903" s="55"/>
    </row>
    <row r="904" ht="14.25" customHeight="1">
      <c r="G904" s="55"/>
    </row>
    <row r="905" ht="14.25" customHeight="1">
      <c r="G905" s="55"/>
    </row>
    <row r="906" ht="14.25" customHeight="1">
      <c r="G906" s="55"/>
    </row>
    <row r="907" ht="14.25" customHeight="1">
      <c r="G907" s="55"/>
    </row>
    <row r="908" ht="14.25" customHeight="1">
      <c r="G908" s="55"/>
    </row>
    <row r="909" ht="14.25" customHeight="1">
      <c r="G909" s="55"/>
    </row>
    <row r="910" ht="14.25" customHeight="1">
      <c r="G910" s="55"/>
    </row>
    <row r="911" ht="14.25" customHeight="1">
      <c r="G911" s="55"/>
    </row>
    <row r="912" ht="14.25" customHeight="1">
      <c r="G912" s="55"/>
    </row>
    <row r="913" ht="14.25" customHeight="1">
      <c r="G913" s="55"/>
    </row>
    <row r="914" ht="14.25" customHeight="1">
      <c r="G914" s="55"/>
    </row>
    <row r="915" ht="14.25" customHeight="1">
      <c r="G915" s="55"/>
    </row>
    <row r="916" ht="14.25" customHeight="1">
      <c r="G916" s="55"/>
    </row>
  </sheetData>
  <mergeCells count="5">
    <mergeCell ref="F8:G8"/>
    <mergeCell ref="F10:G10"/>
    <mergeCell ref="B12:B15"/>
    <mergeCell ref="B18:B21"/>
    <mergeCell ref="B23:B24"/>
  </mergeCells>
  <conditionalFormatting sqref="C1">
    <cfRule type="notContainsBlanks" dxfId="8" priority="1">
      <formula>LEN(TRIM(C1))&gt;0</formula>
    </cfRule>
  </conditionalFormatting>
  <dataValidations>
    <dataValidation type="list" allowBlank="1" sqref="C40">
      <formula1>"Gross Margin,Net Margin"</formula1>
    </dataValidation>
    <dataValidation type="list" allowBlank="1" sqref="C3">
      <formula1>"Nómina,Prestación de Servicios,Deel/Ontop"</formula1>
    </dataValidation>
    <dataValidation type="list" allowBlank="1" showErrorMessage="1" sqref="C5">
      <formula1>"Cold Calling,Mercadeo,Directo,Network - Cold Calling,Referido Imagine"</formula1>
    </dataValidation>
    <dataValidation type="list" allowBlank="1" showErrorMessage="1" sqref="D27:D36">
      <formula1>"Nómina,P. Servicios"</formula1>
    </dataValidation>
    <dataValidation type="list" allowBlank="1" sqref="B27:B36">
      <formula1>'Parámetros'!$A$2:$A$113</formula1>
    </dataValidation>
    <dataValidation type="list" allowBlank="1" sqref="C2">
      <formula1>'Parámetros'!$A$118:$A$123</formula1>
    </dataValidation>
    <dataValidation type="list" allowBlank="1" sqref="C6">
      <formula1>"Perfil Sr.,Perfil Semi senior,Perfil Jr."</formula1>
    </dataValidation>
    <dataValidation type="list" allowBlank="1" sqref="D40">
      <formula1>"COP,USD"</formula1>
    </dataValidation>
  </dataValidations>
  <printOptions/>
  <pageMargins bottom="0.75" footer="0.0" header="0.0" left="0.7" right="0.7" top="0.75"/>
  <pageSetup orientation="portrait"/>
  <drawing r:id="rId1"/>
  <tableParts count="3">
    <tablePart r:id="rId5"/>
    <tablePart r:id="rId6"/>
    <tablePart r:id="rId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4.14"/>
    <col customWidth="1" min="2" max="2" width="38.43"/>
    <col customWidth="1" min="3" max="3" width="23.14"/>
    <col customWidth="1" min="4" max="4" width="16.29"/>
    <col customWidth="1" min="5" max="5" width="14.86"/>
    <col customWidth="1" min="6" max="6" width="18.0"/>
    <col customWidth="1" min="7" max="7" width="16.29"/>
    <col customWidth="1" min="8" max="8" width="15.14"/>
    <col customWidth="1" min="9" max="9" width="12.0"/>
    <col customWidth="1" min="10" max="10" width="26.57"/>
    <col customWidth="1" min="11" max="11" width="14.86"/>
    <col customWidth="1" min="12" max="12" width="14.71"/>
    <col customWidth="1" min="13" max="13" width="17.29"/>
    <col customWidth="1" min="14" max="14" width="15.57"/>
    <col customWidth="1" min="15" max="15" width="10.71"/>
    <col customWidth="1" min="16" max="16" width="23.14"/>
    <col customWidth="1" min="17" max="17" width="17.57"/>
    <col customWidth="1" min="18" max="18" width="15.71"/>
    <col customWidth="1" min="19" max="19" width="18.86"/>
    <col customWidth="1" hidden="1" min="20" max="20" width="13.71"/>
    <col customWidth="1" hidden="1" min="21" max="21" width="13.43"/>
    <col customWidth="1" hidden="1" min="22" max="32" width="10.71"/>
  </cols>
  <sheetData>
    <row r="1" ht="8.25" customHeight="1">
      <c r="A1" s="200"/>
      <c r="B1" s="200"/>
      <c r="C1" s="200"/>
      <c r="D1" s="200"/>
      <c r="E1" s="200"/>
      <c r="F1" s="200"/>
      <c r="G1" s="201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</row>
    <row r="2" ht="15.75" customHeight="1">
      <c r="A2" s="200"/>
      <c r="B2" s="202" t="s">
        <v>150</v>
      </c>
      <c r="C2" s="203" t="s">
        <v>94</v>
      </c>
      <c r="D2" s="204"/>
      <c r="E2" s="200"/>
      <c r="F2" s="200"/>
      <c r="G2" s="205"/>
      <c r="H2" s="206"/>
      <c r="I2" s="206"/>
      <c r="J2" s="207"/>
      <c r="K2" s="206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0"/>
      <c r="AD2" s="200"/>
      <c r="AE2" s="200"/>
      <c r="AF2" s="200"/>
    </row>
    <row r="3" ht="15.75" customHeight="1">
      <c r="A3" s="200"/>
      <c r="B3" s="202" t="s">
        <v>25</v>
      </c>
      <c r="C3" s="208" t="s">
        <v>26</v>
      </c>
      <c r="D3" s="16"/>
      <c r="E3" s="200"/>
      <c r="F3" s="209"/>
      <c r="G3" s="210"/>
      <c r="H3" s="200"/>
      <c r="I3" s="200"/>
      <c r="J3" s="211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200"/>
    </row>
    <row r="4" ht="15.75" customHeight="1">
      <c r="A4" s="200"/>
      <c r="B4" s="202" t="s">
        <v>152</v>
      </c>
      <c r="C4" s="212">
        <f>Ifs(C5="Referido Imagine", VLOOKUP(C2,'Parámetros'!$A$118:$B$124,2,0)*IF(C3="Nómina",1.38522,IF(C3="Prestación de Servicios",1,102%))/2,C5="Network - Cold Calling",VLOOKUP(C2,'Parámetros'!$A$118:$B$124,2,0)*IF(C3="Nómina",1.38522,IF(C3="Prestación de Servicios",1,102%))-2%*138.352222%,C5="Mercadeo",VLOOKUP(C2,'Parámetros'!$A$118:$B$124,2,0)*IF(C3="Nómina",1.38522,IF(C3="Prestación de Servicios",1,102%)),C5="Cold Calling",VLOOKUP(C2,'Parámetros'!$A$118:$B$124,2,0)*IF(C3="Nómina",1.38522,IF(C3="Prestación de Servicios",1,102%)),C5="Directo",VLOOKUP(C2,'Parámetros'!$A$118:$B$124,2,0)*IF(C3="Nómina",1.38522,IF(C3="Prestación de Servicios",1,102%)))*IF(C2="Servidores ",0,1)</f>
        <v>0.1</v>
      </c>
      <c r="D4" s="16"/>
      <c r="E4" s="200"/>
      <c r="H4" s="200"/>
      <c r="I4" s="200"/>
      <c r="J4" s="211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</row>
    <row r="5" ht="15.75" customHeight="1">
      <c r="A5" s="200"/>
      <c r="B5" s="213" t="s">
        <v>153</v>
      </c>
      <c r="C5" s="214" t="s">
        <v>133</v>
      </c>
      <c r="D5" s="16"/>
      <c r="F5" s="90"/>
      <c r="G5" s="215"/>
      <c r="I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</row>
    <row r="6" ht="15.75" customHeight="1">
      <c r="A6" s="200"/>
      <c r="B6" s="202" t="s">
        <v>154</v>
      </c>
      <c r="C6" s="214" t="s">
        <v>170</v>
      </c>
      <c r="D6" s="216"/>
      <c r="F6" s="217"/>
      <c r="G6" s="215"/>
      <c r="I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0"/>
      <c r="AA6" s="200"/>
      <c r="AB6" s="200"/>
      <c r="AC6" s="200"/>
      <c r="AD6" s="200"/>
      <c r="AE6" s="200"/>
      <c r="AF6" s="200"/>
    </row>
    <row r="7" ht="15.75" customHeight="1">
      <c r="A7" s="200"/>
      <c r="B7" s="202" t="s">
        <v>28</v>
      </c>
      <c r="C7" s="218">
        <v>0.0</v>
      </c>
      <c r="D7" s="216"/>
      <c r="F7" s="219" t="s">
        <v>155</v>
      </c>
      <c r="G7" s="220">
        <f>VLOOKUP($C$2,'Parámetros'!$A$118:$D$124,3,0)</f>
        <v>0.4</v>
      </c>
      <c r="I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  <c r="AA7" s="200"/>
      <c r="AB7" s="200"/>
      <c r="AC7" s="200"/>
      <c r="AD7" s="200"/>
      <c r="AE7" s="200"/>
      <c r="AF7" s="200"/>
    </row>
    <row r="8" ht="15.75" customHeight="1">
      <c r="A8" s="200"/>
      <c r="B8" s="202" t="s">
        <v>156</v>
      </c>
      <c r="C8" s="218">
        <v>0.0</v>
      </c>
      <c r="D8" s="204"/>
      <c r="F8" s="221" t="str">
        <f>IF(D13&gt;=G7,"Dentro del margen","¡Por debajo del margen!")</f>
        <v>Dentro del margen</v>
      </c>
      <c r="I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</row>
    <row r="9" ht="15.75" customHeight="1">
      <c r="A9" s="200"/>
      <c r="B9" s="202" t="s">
        <v>157</v>
      </c>
      <c r="C9" s="222" t="s">
        <v>171</v>
      </c>
      <c r="D9" s="204"/>
      <c r="E9" s="200"/>
      <c r="H9" s="200"/>
      <c r="I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200"/>
      <c r="AC9" s="200"/>
      <c r="AD9" s="200"/>
      <c r="AE9" s="200"/>
      <c r="AF9" s="200"/>
    </row>
    <row r="10" ht="15.75" customHeight="1">
      <c r="A10" s="200"/>
      <c r="B10" s="202" t="s">
        <v>158</v>
      </c>
      <c r="C10" s="208">
        <v>6.0</v>
      </c>
      <c r="D10" s="16"/>
      <c r="E10" s="200"/>
      <c r="H10" s="201"/>
      <c r="I10" s="223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</row>
    <row r="11" ht="15.75" customHeight="1">
      <c r="A11" s="200"/>
      <c r="B11" s="224"/>
      <c r="C11" s="16"/>
      <c r="D11" s="16"/>
      <c r="E11" s="200"/>
      <c r="F11" s="202" t="s">
        <v>44</v>
      </c>
      <c r="G11" s="225" t="s">
        <v>45</v>
      </c>
      <c r="H11" s="223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</row>
    <row r="12" ht="18.75" customHeight="1">
      <c r="B12" s="226" t="s">
        <v>7</v>
      </c>
      <c r="C12" s="17" t="s">
        <v>6</v>
      </c>
      <c r="D12" s="227">
        <f>F12*C4+IFS(C5="Cold Calling",2%*138.3522%,C5="Mercadeo",2%*101%,C5="Network - Cold Calling",2%*138.3522%,C5="Referido Imagine",5%*138.3522%,C5="Directo",0)*F12+ifs(AND(C6="Perfil Jr.",C2="Network"),200000,AND(C6="Perfil Sr.",C2="Network"),350000,AND(C2="Network",C6="Perfil Semi Senior"), 600000,C2="Proyecto",1,C2="Equipo dedicado",1,C2="Servidores",1,C2="Enterprise",1,C2="Descubrimiento",1)</f>
        <v>36097692.95</v>
      </c>
      <c r="E12" s="228" t="s">
        <v>159</v>
      </c>
      <c r="F12" s="229">
        <f>((C61+C57+C59)/((1-D13-'Parámetros'!L8*C7)))*IF(C8=1,102.4%,1)</f>
        <v>300313576.9</v>
      </c>
      <c r="G12" s="230">
        <f>F12/'Parámetros'!$L$3</f>
        <v>84595.37378</v>
      </c>
      <c r="H12" s="211"/>
      <c r="M12" s="23"/>
      <c r="N12" s="24"/>
      <c r="O12" s="24"/>
    </row>
    <row r="13" ht="18.75" customHeight="1">
      <c r="B13" s="27"/>
      <c r="C13" s="17" t="s">
        <v>9</v>
      </c>
      <c r="D13" s="231">
        <v>0.4</v>
      </c>
      <c r="E13" s="228" t="s">
        <v>160</v>
      </c>
      <c r="F13" s="229">
        <f>F12/C10</f>
        <v>50052262.82</v>
      </c>
      <c r="G13" s="230">
        <f>F13/'Parámetros'!$L$3</f>
        <v>14099.22896</v>
      </c>
      <c r="J13" s="290"/>
      <c r="M13" s="23"/>
      <c r="N13" s="24"/>
      <c r="O13" s="24"/>
    </row>
    <row r="14" ht="18.75" customHeight="1">
      <c r="B14" s="27"/>
      <c r="C14" s="17" t="s">
        <v>15</v>
      </c>
      <c r="D14" s="227">
        <f>F12*'Parámetros'!L5</f>
        <v>2072163.681</v>
      </c>
      <c r="E14" s="228" t="s">
        <v>161</v>
      </c>
      <c r="F14" s="229">
        <f>F12/SUM(D43:D49)</f>
        <v>608908.3068</v>
      </c>
      <c r="G14" s="230">
        <f>G12/SUM(D43:D49)</f>
        <v>171.5234667</v>
      </c>
      <c r="L14" s="22"/>
      <c r="O14" s="28"/>
      <c r="P14" s="28"/>
      <c r="Q14" s="28"/>
    </row>
    <row r="15" ht="14.25" customHeight="1">
      <c r="B15" s="43"/>
      <c r="C15" s="17" t="s">
        <v>18</v>
      </c>
      <c r="D15" s="233">
        <f>(F12-C62-D14-D12-C7*'Parámetros'!L8*F12-IF(C8=1,2.4%,0)*F12)/F12</f>
        <v>0.06298478532</v>
      </c>
      <c r="F15" s="23"/>
      <c r="G15" s="55"/>
      <c r="L15" s="32"/>
      <c r="M15" s="33"/>
      <c r="O15" s="28"/>
      <c r="P15" s="28"/>
      <c r="Q15" s="28"/>
    </row>
    <row r="16" ht="14.25" customHeight="1">
      <c r="D16" s="235"/>
      <c r="F16" s="236"/>
      <c r="G16" s="55"/>
      <c r="H16" s="237"/>
      <c r="I16" s="237"/>
      <c r="J16" s="237"/>
      <c r="L16" s="32"/>
      <c r="M16" s="37"/>
      <c r="N16" s="38"/>
      <c r="O16" s="39"/>
    </row>
    <row r="17" ht="14.25" customHeight="1">
      <c r="F17" s="236"/>
      <c r="G17" s="55"/>
      <c r="L17" s="22"/>
    </row>
    <row r="18" ht="15.75" customHeight="1">
      <c r="B18" s="226" t="s">
        <v>22</v>
      </c>
      <c r="C18" s="17" t="s">
        <v>6</v>
      </c>
      <c r="D18" s="227">
        <f>F18*C4+IFS(C5="Cold Calling",2%*138.3522%,C5="Mercadeo",2%*101%,C5="Network - Cold Calling",2%*138.3522%,C5="Referido Imagine",5%*138.3522%,C5="Directo",0)*F18</f>
        <v>43447867.14</v>
      </c>
      <c r="E18" s="228" t="s">
        <v>159</v>
      </c>
      <c r="F18" s="229">
        <f>+C62/((1-IFS(C5="Cold Calling",2%*138.3522%,C5="Mercadeo",2%*101%,C5="Network - Cold Calling",2%*138.3522%,C5="Referido Imagine",5%*138.3522%,C5="Directo",0)-C4-D19-'Parámetros'!L5-C7*'Parámetros'!L8))*IF(C8=1,102.4%,1)</f>
        <v>361463121</v>
      </c>
      <c r="G18" s="230">
        <f>F18/'Parámetros'!L3</f>
        <v>101820.5975</v>
      </c>
      <c r="L18" s="22"/>
    </row>
    <row r="19" ht="16.5" customHeight="1">
      <c r="B19" s="27"/>
      <c r="C19" s="17" t="s">
        <v>18</v>
      </c>
      <c r="D19" s="231">
        <v>0.2</v>
      </c>
      <c r="E19" s="228" t="s">
        <v>160</v>
      </c>
      <c r="F19" s="229">
        <f>F18/C10</f>
        <v>60243853.5</v>
      </c>
      <c r="G19" s="230">
        <f>G18/C10</f>
        <v>16970.09958</v>
      </c>
      <c r="L19" s="32"/>
      <c r="M19" s="33"/>
    </row>
    <row r="20" ht="17.25" customHeight="1">
      <c r="B20" s="27"/>
      <c r="C20" s="17" t="s">
        <v>15</v>
      </c>
      <c r="D20" s="227">
        <f>F18*'Parámetros'!L5</f>
        <v>2494095.535</v>
      </c>
      <c r="E20" s="228" t="s">
        <v>161</v>
      </c>
      <c r="F20" s="229">
        <f>F18/SUM(D43:D49)</f>
        <v>732893.5949</v>
      </c>
      <c r="G20" s="230">
        <f>G18/SUM(D43:D49)</f>
        <v>206.4489</v>
      </c>
      <c r="L20" s="22"/>
      <c r="M20" s="55"/>
    </row>
    <row r="21" ht="14.25" customHeight="1">
      <c r="B21" s="43"/>
      <c r="C21" s="17" t="s">
        <v>9</v>
      </c>
      <c r="D21" s="240">
        <f>(((F18-C57-C59-C61-C7*'Parámetros'!L8*F18)-IF(C8=1,2.4%,0)*F18)/F18)</f>
        <v>0.5015033743</v>
      </c>
      <c r="E21" s="241"/>
      <c r="G21" s="55"/>
    </row>
    <row r="22" ht="14.25" customHeight="1">
      <c r="D22" s="55"/>
      <c r="E22" s="23"/>
      <c r="F22" s="242"/>
      <c r="G22" s="55"/>
    </row>
    <row r="23" ht="14.25" customHeight="1">
      <c r="B23" s="243" t="str">
        <f>'Parámetros'!B149</f>
        <v>Considerar como mínimo por cada Dev: 
 PM:33%, QA:20%, Diseño:10%</v>
      </c>
      <c r="C23" s="244"/>
      <c r="G23" s="55"/>
      <c r="M23" s="245"/>
    </row>
    <row r="24" ht="15.75" customHeight="1">
      <c r="B24" s="246"/>
      <c r="C24" s="244"/>
      <c r="G24" s="55"/>
    </row>
    <row r="25" ht="15.75" customHeight="1">
      <c r="E25" s="247">
        <f>SUM(E27:E34)</f>
        <v>2.74</v>
      </c>
      <c r="G25" s="248"/>
    </row>
    <row r="26" ht="14.25" customHeight="1">
      <c r="B26" s="249" t="s">
        <v>31</v>
      </c>
      <c r="C26" s="249" t="s">
        <v>32</v>
      </c>
      <c r="D26" s="249" t="s">
        <v>33</v>
      </c>
      <c r="E26" s="250" t="s">
        <v>35</v>
      </c>
      <c r="F26" s="250" t="s">
        <v>164</v>
      </c>
      <c r="G26" s="250" t="s">
        <v>165</v>
      </c>
      <c r="H26" s="250" t="s">
        <v>37</v>
      </c>
      <c r="I26" s="146"/>
      <c r="J26" s="146"/>
      <c r="L26" s="67"/>
    </row>
    <row r="27" ht="14.25" customHeight="1">
      <c r="A27" s="251">
        <f>IFERROR(__xludf.DUMMYFUNCTION("COUNTIF(SPLIT(B27,"" ""),""Developer"")"),0.0)</f>
        <v>0</v>
      </c>
      <c r="B27" s="252" t="s">
        <v>172</v>
      </c>
      <c r="C27" s="68" t="str">
        <f>IFERROR(VLOOKUP(B27,'Parámetros'!A$1:B113,2, FALSE),"")</f>
        <v/>
      </c>
      <c r="D27" s="208" t="s">
        <v>41</v>
      </c>
      <c r="E27" s="253">
        <v>0.33</v>
      </c>
      <c r="F27" s="68">
        <f t="shared" ref="F27:F36" si="1">+IFERROR(IF(D27="Nómina",C27*1.38352,C27),"")*E27*105%</f>
        <v>0</v>
      </c>
      <c r="G27" s="68">
        <f t="shared" ref="G27:G36" si="2">F27*C$10</f>
        <v>0</v>
      </c>
      <c r="H27" s="254">
        <f>F27/(AVERAGE('Parámetros'!$F$5:$F$6)+$F$37)</f>
        <v>0</v>
      </c>
      <c r="I27" s="146"/>
      <c r="J27" s="146"/>
      <c r="L27" s="73"/>
    </row>
    <row r="28" ht="14.25" customHeight="1">
      <c r="A28" s="251">
        <f>IFERROR(__xludf.DUMMYFUNCTION("COUNTIF(SPLIT(B28,"" ""),""Developer"")"),1.0)</f>
        <v>1</v>
      </c>
      <c r="B28" s="255" t="s">
        <v>88</v>
      </c>
      <c r="C28" s="68">
        <f>IFERROR(VLOOKUP(B28,'Parámetros'!A$1:B114,2, FALSE),"")</f>
        <v>12000000</v>
      </c>
      <c r="D28" s="208" t="s">
        <v>41</v>
      </c>
      <c r="E28" s="256">
        <v>1.0</v>
      </c>
      <c r="F28" s="68">
        <f t="shared" si="1"/>
        <v>17432352</v>
      </c>
      <c r="G28" s="68">
        <f t="shared" si="2"/>
        <v>104594112</v>
      </c>
      <c r="H28" s="254">
        <f>G28/(AVERAGE('Parámetros'!$F$5:$F$6)+$F$37)</f>
        <v>0.2898404029</v>
      </c>
      <c r="I28" s="146"/>
      <c r="J28" s="146"/>
      <c r="L28" s="73"/>
      <c r="R28" s="74"/>
    </row>
    <row r="29" ht="14.25" customHeight="1">
      <c r="A29" s="251">
        <f>IFERROR(__xludf.DUMMYFUNCTION("COUNTIF(SPLIT(B29,"" ""),""Developer"")"),0.0)</f>
        <v>0</v>
      </c>
      <c r="B29" s="255" t="s">
        <v>74</v>
      </c>
      <c r="C29" s="68">
        <f>IFERROR(VLOOKUP(B29,'Parámetros'!A$1:B115,2, FALSE),"")</f>
        <v>3000000</v>
      </c>
      <c r="D29" s="208" t="s">
        <v>41</v>
      </c>
      <c r="E29" s="256">
        <v>0.25</v>
      </c>
      <c r="F29" s="68">
        <f t="shared" si="1"/>
        <v>1089522</v>
      </c>
      <c r="G29" s="68">
        <f t="shared" si="2"/>
        <v>6537132</v>
      </c>
      <c r="H29" s="254">
        <f>G29/(AVERAGE('Parámetros'!$F$5:$F$6)+$F$37)</f>
        <v>0.01811502518</v>
      </c>
      <c r="I29" s="146"/>
      <c r="J29" s="146"/>
      <c r="L29" s="73"/>
    </row>
    <row r="30" ht="14.25" customHeight="1">
      <c r="A30" s="251">
        <f>IFERROR(__xludf.DUMMYFUNCTION("COUNTIF(SPLIT(B30,"" ""),""Developer"")"),0.0)</f>
        <v>0</v>
      </c>
      <c r="B30" s="255" t="s">
        <v>173</v>
      </c>
      <c r="C30" s="68" t="str">
        <f>IFERROR(VLOOKUP(B30,'Parámetros'!A$1:B116,2, FALSE),"")</f>
        <v/>
      </c>
      <c r="D30" s="208" t="s">
        <v>41</v>
      </c>
      <c r="E30" s="257">
        <v>0.3</v>
      </c>
      <c r="F30" s="68">
        <f t="shared" si="1"/>
        <v>0</v>
      </c>
      <c r="G30" s="68">
        <f t="shared" si="2"/>
        <v>0</v>
      </c>
      <c r="H30" s="254">
        <f>G30/(AVERAGE('Parámetros'!$F$5:$F$6)+$F$37)</f>
        <v>0</v>
      </c>
      <c r="I30" s="146"/>
      <c r="J30" s="146"/>
      <c r="L30" s="73"/>
    </row>
    <row r="31" ht="14.25" customHeight="1">
      <c r="A31" s="251">
        <f>IFERROR(__xludf.DUMMYFUNCTION("COUNTIF(SPLIT(B31,"" ""),""Developer"")"),0.0)</f>
        <v>0</v>
      </c>
      <c r="B31" s="255" t="s">
        <v>180</v>
      </c>
      <c r="C31" s="68">
        <v>9000000.0</v>
      </c>
      <c r="D31" s="208" t="s">
        <v>41</v>
      </c>
      <c r="E31" s="256">
        <v>0.33</v>
      </c>
      <c r="F31" s="68">
        <f t="shared" si="1"/>
        <v>4314507.12</v>
      </c>
      <c r="G31" s="68">
        <f t="shared" si="2"/>
        <v>25887042.72</v>
      </c>
      <c r="H31" s="254">
        <f>G31/(AVERAGE('Parámetros'!$F$5:$F$6)+$F$37)</f>
        <v>0.07173549972</v>
      </c>
      <c r="I31" s="146"/>
      <c r="J31" s="146"/>
      <c r="L31" s="73"/>
    </row>
    <row r="32" ht="14.25" customHeight="1">
      <c r="A32" s="251">
        <f>IFERROR(__xludf.DUMMYFUNCTION("COUNTIF(SPLIT(B32,"" ""),""Developer"")"),0.0)</f>
        <v>0</v>
      </c>
      <c r="B32" s="304" t="s">
        <v>181</v>
      </c>
      <c r="C32" s="68">
        <v>8500000.0</v>
      </c>
      <c r="D32" s="208" t="s">
        <v>41</v>
      </c>
      <c r="E32" s="258">
        <v>0.33</v>
      </c>
      <c r="F32" s="68">
        <f t="shared" si="1"/>
        <v>4074812.28</v>
      </c>
      <c r="G32" s="68">
        <f t="shared" si="2"/>
        <v>24448873.68</v>
      </c>
      <c r="H32" s="254">
        <f>G32/(AVERAGE('Parámetros'!$F$5:$F$6)+$F$37)</f>
        <v>0.06775019418</v>
      </c>
      <c r="I32" s="146"/>
      <c r="J32" s="146"/>
      <c r="K32" s="146"/>
    </row>
    <row r="33" ht="14.25" customHeight="1">
      <c r="A33" s="251">
        <f>IFERROR(__xludf.DUMMYFUNCTION("COUNTIF(SPLIT(B33,"" ""),""Developer"")"),0.0)</f>
        <v>0</v>
      </c>
      <c r="B33" s="304" t="s">
        <v>182</v>
      </c>
      <c r="C33" s="68" t="str">
        <f>IFERROR(VLOOKUP(B33,'Parámetros'!A$1:B119,2, FALSE),"")</f>
        <v/>
      </c>
      <c r="D33" s="208" t="s">
        <v>41</v>
      </c>
      <c r="E33" s="258">
        <v>0.2</v>
      </c>
      <c r="F33" s="68">
        <f t="shared" si="1"/>
        <v>0</v>
      </c>
      <c r="G33" s="68">
        <f t="shared" si="2"/>
        <v>0</v>
      </c>
      <c r="H33" s="254">
        <f>G33/(AVERAGE('Parámetros'!$F$5:$F$6)+$F$37)</f>
        <v>0</v>
      </c>
      <c r="I33" s="146"/>
      <c r="J33" s="146"/>
      <c r="K33" s="146"/>
    </row>
    <row r="34" ht="14.25" customHeight="1">
      <c r="A34" s="251">
        <f>IFERROR(__xludf.DUMMYFUNCTION("COUNTIF(SPLIT(B34,"" ""),""Developer"")"),0.0)</f>
        <v>0</v>
      </c>
      <c r="B34" s="304"/>
      <c r="C34" s="68" t="str">
        <f>IFERROR(VLOOKUP(B34,'Parámetros'!A$1:B120,2, FALSE),"")</f>
        <v/>
      </c>
      <c r="D34" s="208" t="s">
        <v>41</v>
      </c>
      <c r="E34" s="258"/>
      <c r="F34" s="68">
        <f t="shared" si="1"/>
        <v>0</v>
      </c>
      <c r="G34" s="68">
        <f t="shared" si="2"/>
        <v>0</v>
      </c>
      <c r="H34" s="254">
        <f>G34/(AVERAGE('Parámetros'!$F$5:$F$6)+$F$37)</f>
        <v>0</v>
      </c>
      <c r="I34" s="146"/>
      <c r="J34" s="146"/>
      <c r="K34" s="146"/>
    </row>
    <row r="35" ht="14.25" customHeight="1">
      <c r="A35" s="251"/>
      <c r="B35" s="304"/>
      <c r="C35" s="68" t="str">
        <f>IFERROR(VLOOKUP(B35,'Parámetros'!A$1:B121,2, FALSE),"")</f>
        <v/>
      </c>
      <c r="D35" s="208" t="s">
        <v>41</v>
      </c>
      <c r="E35" s="258"/>
      <c r="F35" s="68">
        <f t="shared" si="1"/>
        <v>0</v>
      </c>
      <c r="G35" s="68">
        <f t="shared" si="2"/>
        <v>0</v>
      </c>
      <c r="H35" s="254">
        <f>G35/(AVERAGE('Parámetros'!$F$5:$F$6)+$F$37)</f>
        <v>0</v>
      </c>
      <c r="I35" s="146"/>
      <c r="J35" s="146"/>
      <c r="K35" s="146"/>
    </row>
    <row r="36" ht="14.25" customHeight="1">
      <c r="A36" s="251"/>
      <c r="B36" s="304"/>
      <c r="C36" s="68" t="str">
        <f>IFERROR(VLOOKUP(B36,'Parámetros'!A$1:B122,2, FALSE),"")</f>
        <v/>
      </c>
      <c r="D36" s="208" t="s">
        <v>41</v>
      </c>
      <c r="E36" s="258"/>
      <c r="F36" s="68">
        <f t="shared" si="1"/>
        <v>0</v>
      </c>
      <c r="G36" s="68">
        <f t="shared" si="2"/>
        <v>0</v>
      </c>
      <c r="H36" s="254">
        <f>G36/(AVERAGE('Parámetros'!$F$5:$F$6)+$F$37)</f>
        <v>0</v>
      </c>
      <c r="I36" s="146"/>
      <c r="J36" s="146"/>
      <c r="K36" s="146"/>
    </row>
    <row r="37" ht="14.25" customHeight="1">
      <c r="F37" s="259">
        <f t="shared" ref="F37:H37" si="3">SUM(F27:F36)</f>
        <v>26911193.4</v>
      </c>
      <c r="G37" s="259">
        <f t="shared" si="3"/>
        <v>161467160.4</v>
      </c>
      <c r="H37" s="260">
        <f t="shared" si="3"/>
        <v>0.447441122</v>
      </c>
      <c r="M37" s="90"/>
      <c r="N37" s="91"/>
      <c r="O37" s="92"/>
      <c r="P37" s="93"/>
      <c r="Q37" s="94"/>
    </row>
    <row r="38" ht="14.25" customHeight="1">
      <c r="G38" s="55"/>
    </row>
    <row r="39" ht="14.25" customHeight="1">
      <c r="G39" s="55"/>
    </row>
    <row r="40" ht="14.25" customHeight="1">
      <c r="C40" s="261" t="s">
        <v>9</v>
      </c>
      <c r="D40" s="261" t="s">
        <v>45</v>
      </c>
      <c r="G40" s="55"/>
    </row>
    <row r="41" ht="14.25" customHeight="1">
      <c r="F41" s="97"/>
      <c r="G41" s="55"/>
    </row>
    <row r="42" ht="14.25" customHeight="1">
      <c r="B42" s="262" t="s">
        <v>31</v>
      </c>
      <c r="C42" s="261" t="s">
        <v>35</v>
      </c>
      <c r="D42" s="291" t="s">
        <v>48</v>
      </c>
      <c r="E42" s="292" t="s">
        <v>50</v>
      </c>
      <c r="F42" s="292" t="s">
        <v>159</v>
      </c>
      <c r="G42" s="55"/>
    </row>
    <row r="43" ht="14.25" customHeight="1">
      <c r="B43" s="264" t="str">
        <f t="shared" ref="B43:B52" si="4">B27</f>
        <v>Project Analyst Senior</v>
      </c>
      <c r="C43" s="265">
        <f t="shared" ref="C43:C52" si="5">E27</f>
        <v>0.33</v>
      </c>
      <c r="D43" s="268">
        <f t="shared" ref="D43:D52" si="6">C43*180</f>
        <v>59.4</v>
      </c>
      <c r="E43" s="267">
        <f>IFERROR((IF($C$40="Gross Margin",F27/$F$37*$F$12,IF($C$40="Net Margin",F27/$F$37*$F$18,"Error")))/D43,"")/IF($D$40="USD",'Parámetros'!$L$3,1)</f>
        <v>0</v>
      </c>
      <c r="F43" s="267">
        <f t="shared" ref="F43:F52" si="7">E43*D43</f>
        <v>0</v>
      </c>
      <c r="G43" s="55"/>
    </row>
    <row r="44" ht="14.25" customHeight="1">
      <c r="B44" s="264" t="str">
        <f t="shared" si="4"/>
        <v>Software Developer Senior Nivel 2</v>
      </c>
      <c r="C44" s="265">
        <f t="shared" si="5"/>
        <v>1</v>
      </c>
      <c r="D44" s="268">
        <f t="shared" si="6"/>
        <v>180</v>
      </c>
      <c r="E44" s="267">
        <f>IFERROR((IF($C$40="Gross Margin",F28/$F$37*$F$12,IF($C$40="Net Margin",F28/$F$37*$F$18,"Error")))/D44,"")/IF($D$40="USD",'Parámetros'!$L$3,1)</f>
        <v>304.4367927</v>
      </c>
      <c r="F44" s="267">
        <f t="shared" si="7"/>
        <v>54798.62269</v>
      </c>
      <c r="G44" s="55"/>
    </row>
    <row r="45" ht="14.25" customHeight="1">
      <c r="B45" s="264" t="str">
        <f t="shared" si="4"/>
        <v>QA Engineer Semi Senior</v>
      </c>
      <c r="C45" s="265">
        <f t="shared" si="5"/>
        <v>0.25</v>
      </c>
      <c r="D45" s="268">
        <f t="shared" si="6"/>
        <v>45</v>
      </c>
      <c r="E45" s="267">
        <f>IFERROR((IF($C$40="Gross Margin",F29/$F$37*$F$12,IF($C$40="Net Margin",F29/$F$37*$F$18,"Error")))/D45,"")/IF($D$40="USD",'Parámetros'!$L$3,1)</f>
        <v>76.10919818</v>
      </c>
      <c r="F45" s="267">
        <f t="shared" si="7"/>
        <v>3424.913918</v>
      </c>
      <c r="G45" s="23"/>
    </row>
    <row r="46" ht="14.25" customHeight="1">
      <c r="B46" s="264" t="str">
        <f t="shared" si="4"/>
        <v>Diseñador Semi Senior</v>
      </c>
      <c r="C46" s="265">
        <f t="shared" si="5"/>
        <v>0.3</v>
      </c>
      <c r="D46" s="268">
        <f t="shared" si="6"/>
        <v>54</v>
      </c>
      <c r="E46" s="267">
        <f>IFERROR((IF($C$40="Gross Margin",F30/$F$37*$F$12,IF($C$40="Net Margin",F30/$F$37*$F$18,"Error")))/D46,"")/IF($D$40="USD",'Parámetros'!$L$3,1)</f>
        <v>0</v>
      </c>
      <c r="F46" s="267">
        <f t="shared" si="7"/>
        <v>0</v>
      </c>
      <c r="G46" s="23"/>
    </row>
    <row r="47" ht="14.25" customHeight="1">
      <c r="B47" s="264" t="str">
        <f t="shared" si="4"/>
        <v>Lider Técnico</v>
      </c>
      <c r="C47" s="265">
        <f t="shared" si="5"/>
        <v>0.33</v>
      </c>
      <c r="D47" s="268">
        <f t="shared" si="6"/>
        <v>59.4</v>
      </c>
      <c r="E47" s="267">
        <f>IFERROR((IF($C$40="Gross Margin",F31/$F$37*$F$12,IF($C$40="Net Margin",F31/$F$37*$F$18,"Error")))/D47,"")/IF($D$40="USD",'Parámetros'!$L$3,1)</f>
        <v>228.3275945</v>
      </c>
      <c r="F47" s="267">
        <f t="shared" si="7"/>
        <v>13562.65912</v>
      </c>
      <c r="G47" s="55"/>
    </row>
    <row r="48" ht="14.25" customHeight="1">
      <c r="B48" s="264" t="str">
        <f t="shared" si="4"/>
        <v>Master Data</v>
      </c>
      <c r="C48" s="265">
        <f t="shared" si="5"/>
        <v>0.33</v>
      </c>
      <c r="D48" s="268">
        <f t="shared" si="6"/>
        <v>59.4</v>
      </c>
      <c r="E48" s="267">
        <f>IFERROR((IF($C$40="Gross Margin",F32/$F$37*$F$12,IF($C$40="Net Margin",F32/$F$37*$F$18,"Error")))/D48,"")/IF($D$40="USD",'Parámetros'!$L$3,1)</f>
        <v>215.6427282</v>
      </c>
      <c r="F48" s="267">
        <f t="shared" si="7"/>
        <v>12809.17805</v>
      </c>
      <c r="G48" s="55"/>
    </row>
    <row r="49" ht="14.25" customHeight="1">
      <c r="B49" s="264" t="str">
        <f t="shared" si="4"/>
        <v>Infrastructure Engineer Senior</v>
      </c>
      <c r="C49" s="265">
        <f t="shared" si="5"/>
        <v>0.2</v>
      </c>
      <c r="D49" s="268">
        <f t="shared" si="6"/>
        <v>36</v>
      </c>
      <c r="E49" s="267">
        <f>IFERROR((IF($C$40="Gross Margin",F33/$F$37*$F$12,IF($C$40="Net Margin",F33/$F$37*$F$18,"Error")))/D49,"")/IF($D$40="USD",'Parámetros'!$L$3,1)</f>
        <v>0</v>
      </c>
      <c r="F49" s="267">
        <f t="shared" si="7"/>
        <v>0</v>
      </c>
      <c r="G49" s="55"/>
    </row>
    <row r="50" ht="14.25" customHeight="1">
      <c r="B50" s="264" t="str">
        <f t="shared" si="4"/>
        <v/>
      </c>
      <c r="C50" s="265" t="str">
        <f t="shared" si="5"/>
        <v/>
      </c>
      <c r="D50" s="268">
        <f t="shared" si="6"/>
        <v>0</v>
      </c>
      <c r="E50" s="267">
        <f>IFERROR((IF($C$40="Gross Margin",F34/$F$37*$F$12,IF($C$40="Net Margin",F34/$F$37*$F$18,"Error")))/D50,"")/IF($D$40="USD",'Parámetros'!$L$3,1)</f>
        <v>0</v>
      </c>
      <c r="F50" s="267">
        <f t="shared" si="7"/>
        <v>0</v>
      </c>
      <c r="G50" s="55"/>
    </row>
    <row r="51" ht="14.25" customHeight="1">
      <c r="B51" s="264" t="str">
        <f t="shared" si="4"/>
        <v/>
      </c>
      <c r="C51" s="265" t="str">
        <f t="shared" si="5"/>
        <v/>
      </c>
      <c r="D51" s="268">
        <f t="shared" si="6"/>
        <v>0</v>
      </c>
      <c r="E51" s="267">
        <f>IFERROR((IF($C$40="Gross Margin",F35/$F$37*$F$12,IF($C$40="Net Margin",F35/$F$37*$F$18,"Error")))/D51,"")/IF($D$40="USD",'Parámetros'!$L$3,1)</f>
        <v>0</v>
      </c>
      <c r="F51" s="267">
        <f t="shared" si="7"/>
        <v>0</v>
      </c>
      <c r="G51" s="55"/>
    </row>
    <row r="52" ht="14.25" customHeight="1">
      <c r="B52" s="264" t="str">
        <f t="shared" si="4"/>
        <v/>
      </c>
      <c r="C52" s="265" t="str">
        <f t="shared" si="5"/>
        <v/>
      </c>
      <c r="D52" s="268">
        <f t="shared" si="6"/>
        <v>0</v>
      </c>
      <c r="E52" s="267">
        <f>IFERROR((IF($C$40="Gross Margin",F36/$F$37*$F$12,IF($C$40="Net Margin",F36/$F$37*$F$18,"Error")))/D52,"")/IF($D$40="USD",'Parámetros'!$L$3,1)</f>
        <v>0</v>
      </c>
      <c r="F52" s="267">
        <f t="shared" si="7"/>
        <v>0</v>
      </c>
      <c r="G52" s="55"/>
    </row>
    <row r="53" ht="14.25" customHeight="1">
      <c r="E53" s="269" t="s">
        <v>52</v>
      </c>
      <c r="F53" s="270">
        <f>SUM(F43:F52)</f>
        <v>84595.37378</v>
      </c>
      <c r="G53" s="55"/>
    </row>
    <row r="54" ht="14.25" customHeight="1">
      <c r="E54" s="269" t="s">
        <v>167</v>
      </c>
      <c r="F54" s="270">
        <f>F53-G12</f>
        <v>0</v>
      </c>
      <c r="G54" s="55"/>
    </row>
    <row r="55" ht="14.25" customHeight="1">
      <c r="D55" s="271"/>
      <c r="E55" s="271"/>
      <c r="G55" s="55"/>
    </row>
    <row r="56" ht="14.25" customHeight="1">
      <c r="B56" s="272" t="s">
        <v>11</v>
      </c>
      <c r="C56" s="272" t="s">
        <v>52</v>
      </c>
      <c r="D56" s="273" t="s">
        <v>116</v>
      </c>
      <c r="E56" s="274"/>
      <c r="G56" s="55"/>
    </row>
    <row r="57" ht="14.25" customHeight="1" outlineLevel="1">
      <c r="A57" s="33"/>
      <c r="B57" s="275" t="s">
        <v>14</v>
      </c>
      <c r="C57" s="276">
        <f>G37</f>
        <v>161467160.4</v>
      </c>
      <c r="D57" s="276">
        <f t="shared" ref="D57:D62" si="8">C57/C$10</f>
        <v>26911193.4</v>
      </c>
      <c r="E57" s="277"/>
      <c r="F57" s="33"/>
      <c r="G57" s="37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</row>
    <row r="58" ht="14.25" customHeight="1" outlineLevel="1">
      <c r="A58" s="33"/>
      <c r="B58" s="278" t="s">
        <v>17</v>
      </c>
      <c r="C58" s="279">
        <f>C60+C61+C59</f>
        <v>81761373.72</v>
      </c>
      <c r="D58" s="279">
        <f t="shared" si="8"/>
        <v>13626895.62</v>
      </c>
      <c r="E58" s="277"/>
      <c r="F58" s="33"/>
      <c r="G58" s="37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</row>
    <row r="59" ht="14.25" customHeight="1" outlineLevel="1">
      <c r="B59" s="280" t="s">
        <v>19</v>
      </c>
      <c r="C59" s="70">
        <f>E25*5000000*9%*C10</f>
        <v>7398000</v>
      </c>
      <c r="D59" s="70">
        <f t="shared" si="8"/>
        <v>1233000</v>
      </c>
      <c r="E59" s="271"/>
      <c r="G59" s="55"/>
    </row>
    <row r="60" ht="14.25" customHeight="1" outlineLevel="1">
      <c r="B60" s="280" t="s">
        <v>20</v>
      </c>
      <c r="C60" s="281">
        <f>H37*AVERAGE('Parámetros'!G8:G9)*IF(C2="Network",15%,100%)*IF(C2="Enterprise",40%,100%)</f>
        <v>63040387.97</v>
      </c>
      <c r="D60" s="281">
        <f t="shared" si="8"/>
        <v>10506731.33</v>
      </c>
      <c r="E60" s="282"/>
      <c r="G60" s="55"/>
    </row>
    <row r="61" ht="14.25" customHeight="1" outlineLevel="1">
      <c r="B61" s="280" t="s">
        <v>21</v>
      </c>
      <c r="C61" s="70">
        <f>H37*AVERAGE('Parámetros'!H7)*IF(C2="Network",15%,100%)</f>
        <v>11322985.75</v>
      </c>
      <c r="D61" s="70">
        <f t="shared" si="8"/>
        <v>1887164.292</v>
      </c>
      <c r="E61" s="282"/>
      <c r="G61" s="55"/>
    </row>
    <row r="62" ht="14.25" customHeight="1">
      <c r="B62" s="283" t="s">
        <v>23</v>
      </c>
      <c r="C62" s="284">
        <f>C57+C58</f>
        <v>243228534.1</v>
      </c>
      <c r="D62" s="284">
        <f t="shared" si="8"/>
        <v>40538089.02</v>
      </c>
      <c r="E62" s="277"/>
      <c r="G62" s="55"/>
    </row>
    <row r="63" ht="14.25" customHeight="1">
      <c r="B63" s="285" t="s">
        <v>168</v>
      </c>
      <c r="C63" s="286">
        <f t="shared" ref="C63:D63" si="9">C57+C59+C61</f>
        <v>180188146.2</v>
      </c>
      <c r="D63" s="286">
        <f t="shared" si="9"/>
        <v>30031357.69</v>
      </c>
      <c r="E63" s="287"/>
      <c r="G63" s="55"/>
    </row>
    <row r="64">
      <c r="D64" s="271"/>
      <c r="E64" s="271"/>
      <c r="G64" s="55"/>
    </row>
    <row r="65" ht="14.25" customHeight="1">
      <c r="G65" s="55"/>
    </row>
    <row r="66" ht="14.25" customHeight="1">
      <c r="G66" s="55"/>
    </row>
    <row r="67" ht="14.25" customHeight="1">
      <c r="B67" s="142" t="s">
        <v>174</v>
      </c>
      <c r="G67" s="55"/>
    </row>
    <row r="68" ht="14.25" customHeight="1">
      <c r="A68" s="293" t="s">
        <v>175</v>
      </c>
      <c r="B68" s="294" t="s">
        <v>31</v>
      </c>
      <c r="C68" s="295" t="s">
        <v>35</v>
      </c>
      <c r="D68" s="296" t="s">
        <v>48</v>
      </c>
      <c r="G68" s="55"/>
    </row>
    <row r="69" ht="14.25" customHeight="1">
      <c r="A69" s="297">
        <v>1.0</v>
      </c>
      <c r="B69" s="298" t="s">
        <v>176</v>
      </c>
      <c r="C69" s="265">
        <v>0.33</v>
      </c>
      <c r="D69" s="299">
        <v>59.400000000000006</v>
      </c>
      <c r="G69" s="55"/>
    </row>
    <row r="70" ht="14.25" customHeight="1">
      <c r="A70" s="297">
        <v>1.0</v>
      </c>
      <c r="B70" s="298" t="s">
        <v>177</v>
      </c>
      <c r="C70" s="265">
        <v>1.0</v>
      </c>
      <c r="D70" s="299">
        <v>180.0</v>
      </c>
      <c r="G70" s="55"/>
    </row>
    <row r="71" ht="14.25" customHeight="1">
      <c r="A71" s="297">
        <v>1.0</v>
      </c>
      <c r="B71" s="298" t="s">
        <v>178</v>
      </c>
      <c r="C71" s="265">
        <v>0.25</v>
      </c>
      <c r="D71" s="299">
        <v>45.0</v>
      </c>
      <c r="G71" s="55"/>
    </row>
    <row r="72" ht="14.25" customHeight="1">
      <c r="A72" s="297">
        <v>1.0</v>
      </c>
      <c r="B72" s="298" t="s">
        <v>179</v>
      </c>
      <c r="C72" s="265">
        <v>0.3</v>
      </c>
      <c r="D72" s="299">
        <v>54.0</v>
      </c>
      <c r="G72" s="55"/>
    </row>
    <row r="73" ht="14.25" customHeight="1">
      <c r="A73" s="297">
        <v>1.0</v>
      </c>
      <c r="B73" s="264" t="s">
        <v>180</v>
      </c>
      <c r="C73" s="265">
        <v>0.33</v>
      </c>
      <c r="D73" s="299">
        <v>59.400000000000006</v>
      </c>
      <c r="G73" s="55"/>
    </row>
    <row r="74" ht="14.25" customHeight="1">
      <c r="A74" s="297">
        <v>1.0</v>
      </c>
      <c r="B74" s="264" t="s">
        <v>181</v>
      </c>
      <c r="C74" s="265">
        <v>0.33</v>
      </c>
      <c r="D74" s="299">
        <v>59.400000000000006</v>
      </c>
      <c r="G74" s="55"/>
    </row>
    <row r="75" ht="14.25" customHeight="1">
      <c r="A75" s="300">
        <v>1.0</v>
      </c>
      <c r="B75" s="301" t="s">
        <v>182</v>
      </c>
      <c r="C75" s="302">
        <v>0.2</v>
      </c>
      <c r="D75" s="303">
        <v>36.0</v>
      </c>
      <c r="G75" s="55"/>
    </row>
    <row r="76" ht="14.25" customHeight="1">
      <c r="G76" s="55"/>
    </row>
    <row r="77" ht="14.25" customHeight="1">
      <c r="G77" s="55"/>
    </row>
    <row r="78" ht="14.25" customHeight="1">
      <c r="G78" s="55"/>
    </row>
    <row r="79" ht="14.25" customHeight="1">
      <c r="G79" s="55"/>
    </row>
    <row r="80" ht="14.25" customHeight="1">
      <c r="G80" s="55"/>
    </row>
    <row r="81" ht="14.25" customHeight="1">
      <c r="G81" s="55"/>
    </row>
    <row r="82" ht="14.25" customHeight="1">
      <c r="G82" s="55"/>
    </row>
    <row r="83" ht="14.25" customHeight="1">
      <c r="G83" s="55"/>
    </row>
    <row r="84" ht="14.25" customHeight="1">
      <c r="G84" s="55"/>
    </row>
    <row r="85" ht="14.25" customHeight="1">
      <c r="G85" s="55"/>
    </row>
    <row r="86" ht="14.25" customHeight="1">
      <c r="G86" s="55"/>
    </row>
    <row r="87" ht="14.25" customHeight="1">
      <c r="G87" s="55"/>
    </row>
    <row r="88" ht="14.25" customHeight="1">
      <c r="G88" s="55"/>
    </row>
    <row r="89" ht="14.25" customHeight="1">
      <c r="G89" s="55"/>
    </row>
    <row r="90" ht="14.25" customHeight="1">
      <c r="G90" s="55"/>
    </row>
    <row r="91" ht="14.25" customHeight="1">
      <c r="G91" s="55"/>
    </row>
    <row r="92" ht="14.25" customHeight="1">
      <c r="G92" s="55"/>
    </row>
    <row r="93" ht="14.25" customHeight="1">
      <c r="G93" s="55"/>
    </row>
    <row r="94" ht="14.25" customHeight="1">
      <c r="G94" s="55"/>
    </row>
    <row r="95" ht="14.25" customHeight="1">
      <c r="G95" s="55"/>
    </row>
    <row r="96" ht="14.25" customHeight="1">
      <c r="G96" s="55"/>
    </row>
    <row r="97" ht="14.25" customHeight="1">
      <c r="G97" s="55"/>
    </row>
    <row r="98" ht="14.25" customHeight="1">
      <c r="G98" s="55"/>
    </row>
    <row r="99" ht="14.25" customHeight="1">
      <c r="G99" s="55"/>
    </row>
    <row r="100" ht="14.25" customHeight="1">
      <c r="G100" s="55"/>
    </row>
    <row r="101" ht="14.25" customHeight="1">
      <c r="G101" s="55"/>
    </row>
    <row r="102" ht="14.25" customHeight="1">
      <c r="G102" s="55"/>
    </row>
    <row r="103" ht="14.25" customHeight="1">
      <c r="G103" s="55"/>
    </row>
    <row r="104" ht="14.25" customHeight="1">
      <c r="G104" s="55"/>
    </row>
    <row r="105" ht="14.25" customHeight="1">
      <c r="G105" s="55"/>
    </row>
    <row r="106" ht="14.25" customHeight="1">
      <c r="G106" s="55"/>
    </row>
    <row r="107" ht="14.25" customHeight="1">
      <c r="G107" s="55"/>
    </row>
    <row r="108" ht="14.25" customHeight="1">
      <c r="G108" s="55"/>
    </row>
    <row r="109" ht="14.25" customHeight="1">
      <c r="G109" s="55"/>
    </row>
    <row r="110" ht="14.25" customHeight="1">
      <c r="G110" s="55"/>
    </row>
    <row r="111" ht="14.25" customHeight="1">
      <c r="G111" s="55"/>
    </row>
    <row r="112" ht="14.25" customHeight="1">
      <c r="G112" s="55"/>
    </row>
    <row r="113" ht="14.25" customHeight="1">
      <c r="G113" s="55"/>
    </row>
    <row r="114" ht="14.25" customHeight="1">
      <c r="G114" s="55"/>
    </row>
    <row r="115" ht="14.25" customHeight="1">
      <c r="G115" s="55"/>
    </row>
    <row r="116" ht="14.25" customHeight="1">
      <c r="G116" s="55"/>
    </row>
    <row r="117" ht="14.25" customHeight="1">
      <c r="G117" s="55"/>
    </row>
    <row r="118" ht="14.25" customHeight="1">
      <c r="G118" s="55"/>
    </row>
    <row r="119" ht="14.25" customHeight="1">
      <c r="G119" s="55"/>
    </row>
    <row r="120" ht="14.25" customHeight="1">
      <c r="G120" s="55"/>
    </row>
    <row r="121" ht="14.25" customHeight="1">
      <c r="G121" s="55"/>
    </row>
    <row r="122" ht="14.25" customHeight="1">
      <c r="G122" s="55"/>
    </row>
    <row r="123" ht="14.25" customHeight="1">
      <c r="G123" s="55"/>
    </row>
    <row r="124" ht="14.25" customHeight="1">
      <c r="G124" s="55"/>
    </row>
    <row r="125" ht="14.25" customHeight="1">
      <c r="G125" s="55"/>
    </row>
    <row r="126" ht="14.25" customHeight="1">
      <c r="G126" s="55"/>
    </row>
    <row r="127" ht="14.25" customHeight="1">
      <c r="G127" s="55"/>
    </row>
    <row r="128" ht="14.25" customHeight="1">
      <c r="G128" s="55"/>
    </row>
    <row r="129" ht="14.25" customHeight="1">
      <c r="G129" s="55"/>
    </row>
    <row r="130" ht="14.25" customHeight="1">
      <c r="G130" s="55"/>
    </row>
    <row r="131" ht="14.25" customHeight="1">
      <c r="G131" s="55"/>
    </row>
    <row r="132" ht="14.25" customHeight="1">
      <c r="G132" s="55"/>
    </row>
    <row r="133" ht="14.25" customHeight="1">
      <c r="G133" s="55"/>
    </row>
    <row r="134" ht="14.25" customHeight="1">
      <c r="G134" s="55"/>
    </row>
    <row r="135" ht="14.25" customHeight="1">
      <c r="G135" s="55"/>
    </row>
    <row r="136" ht="14.25" customHeight="1">
      <c r="G136" s="55"/>
    </row>
    <row r="137" ht="14.25" customHeight="1">
      <c r="G137" s="55"/>
    </row>
    <row r="138" ht="14.25" customHeight="1">
      <c r="G138" s="55"/>
    </row>
    <row r="139" ht="14.25" customHeight="1">
      <c r="G139" s="55"/>
    </row>
    <row r="140" ht="14.25" customHeight="1">
      <c r="G140" s="55"/>
    </row>
    <row r="141" ht="14.25" customHeight="1">
      <c r="G141" s="55"/>
    </row>
    <row r="142" ht="14.25" customHeight="1">
      <c r="G142" s="55"/>
    </row>
    <row r="143" ht="14.25" customHeight="1">
      <c r="G143" s="55"/>
    </row>
    <row r="144" ht="14.25" customHeight="1">
      <c r="G144" s="55"/>
    </row>
    <row r="145" ht="14.25" customHeight="1">
      <c r="G145" s="55"/>
    </row>
    <row r="146" ht="14.25" customHeight="1">
      <c r="G146" s="55"/>
    </row>
    <row r="147" ht="14.25" customHeight="1">
      <c r="G147" s="55"/>
    </row>
    <row r="148" ht="14.25" customHeight="1">
      <c r="G148" s="55"/>
    </row>
    <row r="149" ht="14.25" customHeight="1">
      <c r="G149" s="55"/>
    </row>
    <row r="150" ht="14.25" customHeight="1">
      <c r="G150" s="55"/>
    </row>
    <row r="151" ht="14.25" customHeight="1">
      <c r="G151" s="55"/>
    </row>
    <row r="152" ht="14.25" customHeight="1">
      <c r="G152" s="55"/>
    </row>
    <row r="153" ht="14.25" customHeight="1">
      <c r="G153" s="55"/>
    </row>
    <row r="154" ht="14.25" customHeight="1">
      <c r="G154" s="55"/>
    </row>
    <row r="155" ht="14.25" customHeight="1">
      <c r="G155" s="55"/>
    </row>
    <row r="156" ht="14.25" customHeight="1">
      <c r="G156" s="55"/>
    </row>
    <row r="157" ht="14.25" customHeight="1">
      <c r="G157" s="55"/>
    </row>
    <row r="158" ht="14.25" customHeight="1">
      <c r="G158" s="55"/>
    </row>
    <row r="159" ht="14.25" customHeight="1">
      <c r="G159" s="55"/>
    </row>
    <row r="160" ht="14.25" customHeight="1">
      <c r="G160" s="55"/>
    </row>
    <row r="161" ht="14.25" customHeight="1">
      <c r="G161" s="55"/>
    </row>
    <row r="162" ht="14.25" customHeight="1">
      <c r="G162" s="55"/>
    </row>
    <row r="163" ht="14.25" customHeight="1">
      <c r="G163" s="55"/>
    </row>
    <row r="164" ht="14.25" customHeight="1">
      <c r="G164" s="55"/>
    </row>
    <row r="165" ht="14.25" customHeight="1">
      <c r="G165" s="55"/>
    </row>
    <row r="166" ht="14.25" customHeight="1">
      <c r="G166" s="55"/>
    </row>
    <row r="167" ht="14.25" customHeight="1">
      <c r="G167" s="55"/>
    </row>
    <row r="168" ht="14.25" customHeight="1">
      <c r="G168" s="55"/>
    </row>
    <row r="169" ht="14.25" customHeight="1">
      <c r="G169" s="55"/>
    </row>
    <row r="170" ht="14.25" customHeight="1">
      <c r="G170" s="55"/>
    </row>
    <row r="171" ht="14.25" customHeight="1">
      <c r="G171" s="55"/>
    </row>
    <row r="172" ht="14.25" customHeight="1">
      <c r="G172" s="55"/>
    </row>
    <row r="173" ht="14.25" customHeight="1">
      <c r="G173" s="55"/>
    </row>
    <row r="174" ht="14.25" customHeight="1">
      <c r="G174" s="55"/>
    </row>
    <row r="175" ht="14.25" customHeight="1">
      <c r="G175" s="55"/>
    </row>
    <row r="176" ht="14.25" customHeight="1">
      <c r="G176" s="55"/>
    </row>
    <row r="177" ht="14.25" customHeight="1">
      <c r="G177" s="55"/>
    </row>
    <row r="178" ht="14.25" customHeight="1">
      <c r="G178" s="55"/>
    </row>
    <row r="179" ht="14.25" customHeight="1">
      <c r="G179" s="55"/>
    </row>
    <row r="180" ht="14.25" customHeight="1">
      <c r="G180" s="55"/>
    </row>
    <row r="181" ht="14.25" customHeight="1">
      <c r="G181" s="55"/>
    </row>
    <row r="182" ht="14.25" customHeight="1">
      <c r="G182" s="55"/>
    </row>
    <row r="183" ht="14.25" customHeight="1">
      <c r="G183" s="55"/>
    </row>
    <row r="184" ht="14.25" customHeight="1">
      <c r="G184" s="55"/>
    </row>
    <row r="185" ht="14.25" customHeight="1">
      <c r="G185" s="55"/>
    </row>
    <row r="186" ht="14.25" customHeight="1">
      <c r="G186" s="55"/>
    </row>
    <row r="187" ht="14.25" customHeight="1">
      <c r="G187" s="55"/>
    </row>
    <row r="188" ht="14.25" customHeight="1">
      <c r="G188" s="55"/>
    </row>
    <row r="189" ht="14.25" customHeight="1">
      <c r="G189" s="55"/>
    </row>
    <row r="190" ht="14.25" customHeight="1">
      <c r="G190" s="55"/>
    </row>
    <row r="191" ht="14.25" customHeight="1">
      <c r="G191" s="55"/>
    </row>
    <row r="192" ht="14.25" customHeight="1">
      <c r="G192" s="55"/>
    </row>
    <row r="193" ht="14.25" customHeight="1">
      <c r="G193" s="55"/>
    </row>
    <row r="194" ht="14.25" customHeight="1">
      <c r="G194" s="55"/>
    </row>
    <row r="195" ht="14.25" customHeight="1">
      <c r="G195" s="55"/>
    </row>
    <row r="196" ht="14.25" customHeight="1">
      <c r="G196" s="55"/>
    </row>
    <row r="197" ht="14.25" customHeight="1">
      <c r="G197" s="55"/>
    </row>
    <row r="198" ht="14.25" customHeight="1">
      <c r="G198" s="55"/>
    </row>
    <row r="199" ht="14.25" customHeight="1">
      <c r="G199" s="55"/>
    </row>
    <row r="200" ht="14.25" customHeight="1">
      <c r="G200" s="55"/>
    </row>
    <row r="201" ht="14.25" customHeight="1">
      <c r="G201" s="55"/>
    </row>
    <row r="202" ht="14.25" customHeight="1">
      <c r="G202" s="55"/>
    </row>
    <row r="203" ht="14.25" customHeight="1">
      <c r="G203" s="55"/>
    </row>
    <row r="204" ht="14.25" customHeight="1">
      <c r="G204" s="55"/>
    </row>
    <row r="205" ht="14.25" customHeight="1">
      <c r="G205" s="55"/>
    </row>
    <row r="206" ht="14.25" customHeight="1">
      <c r="G206" s="55"/>
    </row>
    <row r="207" ht="14.25" customHeight="1">
      <c r="G207" s="55"/>
    </row>
    <row r="208" ht="14.25" customHeight="1">
      <c r="G208" s="55"/>
    </row>
    <row r="209" ht="14.25" customHeight="1">
      <c r="G209" s="55"/>
    </row>
    <row r="210" ht="14.25" customHeight="1">
      <c r="G210" s="55"/>
    </row>
    <row r="211" ht="14.25" customHeight="1">
      <c r="G211" s="55"/>
    </row>
    <row r="212" ht="14.25" customHeight="1">
      <c r="G212" s="55"/>
    </row>
    <row r="213" ht="14.25" customHeight="1">
      <c r="G213" s="55"/>
    </row>
    <row r="214" ht="14.25" customHeight="1">
      <c r="G214" s="55"/>
    </row>
    <row r="215" ht="14.25" customHeight="1">
      <c r="G215" s="55"/>
    </row>
    <row r="216" ht="14.25" customHeight="1">
      <c r="G216" s="55"/>
    </row>
    <row r="217" ht="14.25" customHeight="1">
      <c r="G217" s="55"/>
    </row>
    <row r="218" ht="14.25" customHeight="1">
      <c r="G218" s="55"/>
    </row>
    <row r="219" ht="14.25" customHeight="1">
      <c r="G219" s="55"/>
    </row>
    <row r="220" ht="14.25" customHeight="1">
      <c r="G220" s="55"/>
    </row>
    <row r="221" ht="14.25" customHeight="1">
      <c r="G221" s="55"/>
    </row>
    <row r="222" ht="14.25" customHeight="1">
      <c r="G222" s="55"/>
    </row>
    <row r="223" ht="14.25" customHeight="1">
      <c r="G223" s="55"/>
    </row>
    <row r="224" ht="14.25" customHeight="1">
      <c r="G224" s="55"/>
    </row>
    <row r="225" ht="14.25" customHeight="1">
      <c r="G225" s="55"/>
    </row>
    <row r="226" ht="14.25" customHeight="1">
      <c r="G226" s="55"/>
    </row>
    <row r="227" ht="14.25" customHeight="1">
      <c r="G227" s="55"/>
    </row>
    <row r="228" ht="14.25" customHeight="1">
      <c r="G228" s="55"/>
    </row>
    <row r="229" ht="14.25" customHeight="1">
      <c r="G229" s="55"/>
    </row>
    <row r="230" ht="14.25" customHeight="1">
      <c r="G230" s="55"/>
    </row>
    <row r="231" ht="14.25" customHeight="1">
      <c r="G231" s="55"/>
    </row>
    <row r="232" ht="14.25" customHeight="1">
      <c r="G232" s="55"/>
    </row>
    <row r="233" ht="14.25" customHeight="1">
      <c r="G233" s="55"/>
    </row>
    <row r="234" ht="14.25" customHeight="1">
      <c r="G234" s="55"/>
    </row>
    <row r="235" ht="14.25" customHeight="1">
      <c r="G235" s="55"/>
    </row>
    <row r="236" ht="14.25" customHeight="1">
      <c r="G236" s="55"/>
    </row>
    <row r="237" ht="14.25" customHeight="1">
      <c r="G237" s="55"/>
    </row>
    <row r="238" ht="14.25" customHeight="1">
      <c r="G238" s="55"/>
    </row>
    <row r="239" ht="14.25" customHeight="1">
      <c r="G239" s="55"/>
    </row>
    <row r="240" ht="14.25" customHeight="1">
      <c r="G240" s="55"/>
    </row>
    <row r="241" ht="14.25" customHeight="1">
      <c r="G241" s="55"/>
    </row>
    <row r="242" ht="14.25" customHeight="1">
      <c r="G242" s="55"/>
    </row>
    <row r="243" ht="14.25" customHeight="1">
      <c r="G243" s="55"/>
    </row>
    <row r="244" ht="14.25" customHeight="1">
      <c r="G244" s="55"/>
    </row>
    <row r="245" ht="14.25" customHeight="1">
      <c r="G245" s="55"/>
    </row>
    <row r="246" ht="14.25" customHeight="1">
      <c r="G246" s="55"/>
    </row>
    <row r="247" ht="14.25" customHeight="1">
      <c r="G247" s="55"/>
    </row>
    <row r="248" ht="14.25" customHeight="1">
      <c r="G248" s="55"/>
    </row>
    <row r="249" ht="14.25" customHeight="1">
      <c r="G249" s="55"/>
    </row>
    <row r="250" ht="14.25" customHeight="1">
      <c r="G250" s="55"/>
    </row>
    <row r="251" ht="14.25" customHeight="1">
      <c r="G251" s="55"/>
    </row>
    <row r="252" ht="14.25" customHeight="1">
      <c r="G252" s="55"/>
    </row>
    <row r="253" ht="14.25" customHeight="1">
      <c r="G253" s="55"/>
    </row>
    <row r="254" ht="14.25" customHeight="1">
      <c r="G254" s="55"/>
    </row>
    <row r="255" ht="14.25" customHeight="1">
      <c r="G255" s="55"/>
    </row>
    <row r="256" ht="14.25" customHeight="1">
      <c r="G256" s="55"/>
    </row>
    <row r="257" ht="14.25" customHeight="1">
      <c r="G257" s="55"/>
    </row>
    <row r="258" ht="14.25" customHeight="1">
      <c r="G258" s="55"/>
    </row>
    <row r="259" ht="14.25" customHeight="1">
      <c r="G259" s="55"/>
    </row>
    <row r="260" ht="14.25" customHeight="1">
      <c r="G260" s="55"/>
    </row>
    <row r="261" ht="14.25" customHeight="1">
      <c r="G261" s="55"/>
    </row>
    <row r="262" ht="14.25" customHeight="1">
      <c r="G262" s="55"/>
    </row>
    <row r="263" ht="14.25" customHeight="1">
      <c r="G263" s="55"/>
    </row>
    <row r="264" ht="14.25" customHeight="1">
      <c r="G264" s="55"/>
    </row>
    <row r="265" ht="14.25" customHeight="1">
      <c r="G265" s="55"/>
    </row>
    <row r="266" ht="14.25" customHeight="1">
      <c r="G266" s="55"/>
    </row>
    <row r="267" ht="14.25" customHeight="1">
      <c r="G267" s="55"/>
    </row>
    <row r="268" ht="14.25" customHeight="1">
      <c r="G268" s="55"/>
    </row>
    <row r="269" ht="14.25" customHeight="1">
      <c r="G269" s="55"/>
    </row>
    <row r="270" ht="14.25" customHeight="1">
      <c r="G270" s="55"/>
    </row>
    <row r="271" ht="14.25" customHeight="1">
      <c r="G271" s="55"/>
    </row>
    <row r="272" ht="14.25" customHeight="1">
      <c r="G272" s="55"/>
    </row>
    <row r="273" ht="14.25" customHeight="1">
      <c r="G273" s="55"/>
    </row>
    <row r="274" ht="14.25" customHeight="1">
      <c r="G274" s="55"/>
    </row>
    <row r="275" ht="14.25" customHeight="1">
      <c r="G275" s="55"/>
    </row>
    <row r="276" ht="14.25" customHeight="1">
      <c r="G276" s="55"/>
    </row>
    <row r="277" ht="14.25" customHeight="1">
      <c r="G277" s="55"/>
    </row>
    <row r="278" ht="14.25" customHeight="1">
      <c r="G278" s="55"/>
    </row>
    <row r="279" ht="14.25" customHeight="1">
      <c r="G279" s="55"/>
    </row>
    <row r="280" ht="14.25" customHeight="1">
      <c r="G280" s="55"/>
    </row>
    <row r="281" ht="14.25" customHeight="1">
      <c r="G281" s="55"/>
    </row>
    <row r="282" ht="14.25" customHeight="1">
      <c r="G282" s="55"/>
    </row>
    <row r="283" ht="14.25" customHeight="1">
      <c r="G283" s="55"/>
    </row>
    <row r="284" ht="14.25" customHeight="1">
      <c r="G284" s="55"/>
    </row>
    <row r="285" ht="14.25" customHeight="1">
      <c r="G285" s="55"/>
    </row>
    <row r="286" ht="14.25" customHeight="1">
      <c r="G286" s="55"/>
    </row>
    <row r="287" ht="14.25" customHeight="1">
      <c r="G287" s="55"/>
    </row>
    <row r="288" ht="14.25" customHeight="1">
      <c r="G288" s="55"/>
    </row>
    <row r="289" ht="14.25" customHeight="1">
      <c r="G289" s="55"/>
    </row>
    <row r="290" ht="14.25" customHeight="1">
      <c r="G290" s="55"/>
    </row>
    <row r="291" ht="14.25" customHeight="1">
      <c r="G291" s="55"/>
    </row>
    <row r="292" ht="14.25" customHeight="1">
      <c r="G292" s="55"/>
    </row>
    <row r="293" ht="14.25" customHeight="1">
      <c r="G293" s="55"/>
    </row>
    <row r="294" ht="14.25" customHeight="1">
      <c r="G294" s="55"/>
    </row>
    <row r="295" ht="14.25" customHeight="1">
      <c r="G295" s="55"/>
    </row>
    <row r="296" ht="14.25" customHeight="1">
      <c r="G296" s="55"/>
    </row>
    <row r="297" ht="14.25" customHeight="1">
      <c r="G297" s="55"/>
    </row>
    <row r="298" ht="14.25" customHeight="1">
      <c r="G298" s="55"/>
    </row>
    <row r="299" ht="14.25" customHeight="1">
      <c r="G299" s="55"/>
    </row>
    <row r="300" ht="14.25" customHeight="1">
      <c r="G300" s="55"/>
    </row>
    <row r="301" ht="14.25" customHeight="1">
      <c r="G301" s="55"/>
    </row>
    <row r="302" ht="14.25" customHeight="1">
      <c r="G302" s="55"/>
    </row>
    <row r="303" ht="14.25" customHeight="1">
      <c r="G303" s="55"/>
    </row>
    <row r="304" ht="14.25" customHeight="1">
      <c r="G304" s="55"/>
    </row>
    <row r="305" ht="14.25" customHeight="1">
      <c r="G305" s="55"/>
    </row>
    <row r="306" ht="14.25" customHeight="1">
      <c r="G306" s="55"/>
    </row>
    <row r="307" ht="14.25" customHeight="1">
      <c r="G307" s="55"/>
    </row>
    <row r="308" ht="14.25" customHeight="1">
      <c r="G308" s="55"/>
    </row>
    <row r="309" ht="14.25" customHeight="1">
      <c r="G309" s="55"/>
    </row>
    <row r="310" ht="14.25" customHeight="1">
      <c r="G310" s="55"/>
    </row>
    <row r="311" ht="14.25" customHeight="1">
      <c r="G311" s="55"/>
    </row>
    <row r="312" ht="14.25" customHeight="1">
      <c r="G312" s="55"/>
    </row>
    <row r="313" ht="14.25" customHeight="1">
      <c r="G313" s="55"/>
    </row>
    <row r="314" ht="14.25" customHeight="1">
      <c r="G314" s="55"/>
    </row>
    <row r="315" ht="14.25" customHeight="1">
      <c r="G315" s="55"/>
    </row>
    <row r="316" ht="14.25" customHeight="1">
      <c r="G316" s="55"/>
    </row>
    <row r="317" ht="14.25" customHeight="1">
      <c r="G317" s="55"/>
    </row>
    <row r="318" ht="14.25" customHeight="1">
      <c r="G318" s="55"/>
    </row>
    <row r="319" ht="14.25" customHeight="1">
      <c r="G319" s="55"/>
    </row>
    <row r="320" ht="14.25" customHeight="1">
      <c r="G320" s="55"/>
    </row>
    <row r="321" ht="14.25" customHeight="1">
      <c r="G321" s="55"/>
    </row>
    <row r="322" ht="14.25" customHeight="1">
      <c r="G322" s="55"/>
    </row>
    <row r="323" ht="14.25" customHeight="1">
      <c r="G323" s="55"/>
    </row>
    <row r="324" ht="14.25" customHeight="1">
      <c r="G324" s="55"/>
    </row>
    <row r="325" ht="14.25" customHeight="1">
      <c r="G325" s="55"/>
    </row>
    <row r="326" ht="14.25" customHeight="1">
      <c r="G326" s="55"/>
    </row>
    <row r="327" ht="14.25" customHeight="1">
      <c r="G327" s="55"/>
    </row>
    <row r="328" ht="14.25" customHeight="1">
      <c r="G328" s="55"/>
    </row>
    <row r="329" ht="14.25" customHeight="1">
      <c r="G329" s="55"/>
    </row>
    <row r="330" ht="14.25" customHeight="1">
      <c r="G330" s="55"/>
    </row>
    <row r="331" ht="14.25" customHeight="1">
      <c r="G331" s="55"/>
    </row>
    <row r="332" ht="14.25" customHeight="1">
      <c r="G332" s="55"/>
    </row>
    <row r="333" ht="14.25" customHeight="1">
      <c r="G333" s="55"/>
    </row>
    <row r="334" ht="14.25" customHeight="1">
      <c r="G334" s="55"/>
    </row>
    <row r="335" ht="14.25" customHeight="1">
      <c r="G335" s="55"/>
    </row>
    <row r="336" ht="14.25" customHeight="1">
      <c r="G336" s="55"/>
    </row>
    <row r="337" ht="14.25" customHeight="1">
      <c r="G337" s="55"/>
    </row>
    <row r="338" ht="14.25" customHeight="1">
      <c r="G338" s="55"/>
    </row>
    <row r="339" ht="14.25" customHeight="1">
      <c r="G339" s="55"/>
    </row>
    <row r="340" ht="14.25" customHeight="1">
      <c r="G340" s="55"/>
    </row>
    <row r="341" ht="14.25" customHeight="1">
      <c r="G341" s="55"/>
    </row>
    <row r="342" ht="14.25" customHeight="1">
      <c r="G342" s="55"/>
    </row>
    <row r="343" ht="14.25" customHeight="1">
      <c r="G343" s="55"/>
    </row>
    <row r="344" ht="14.25" customHeight="1">
      <c r="G344" s="55"/>
    </row>
    <row r="345" ht="14.25" customHeight="1">
      <c r="G345" s="55"/>
    </row>
    <row r="346" ht="14.25" customHeight="1">
      <c r="G346" s="55"/>
    </row>
    <row r="347" ht="14.25" customHeight="1">
      <c r="G347" s="55"/>
    </row>
    <row r="348" ht="14.25" customHeight="1">
      <c r="G348" s="55"/>
    </row>
    <row r="349" ht="14.25" customHeight="1">
      <c r="G349" s="55"/>
    </row>
    <row r="350" ht="14.25" customHeight="1">
      <c r="G350" s="55"/>
    </row>
    <row r="351" ht="14.25" customHeight="1">
      <c r="G351" s="55"/>
    </row>
    <row r="352" ht="14.25" customHeight="1">
      <c r="G352" s="55"/>
    </row>
    <row r="353" ht="14.25" customHeight="1">
      <c r="G353" s="55"/>
    </row>
    <row r="354" ht="14.25" customHeight="1">
      <c r="G354" s="55"/>
    </row>
    <row r="355" ht="14.25" customHeight="1">
      <c r="G355" s="55"/>
    </row>
    <row r="356" ht="14.25" customHeight="1">
      <c r="G356" s="55"/>
    </row>
    <row r="357" ht="14.25" customHeight="1">
      <c r="G357" s="55"/>
    </row>
    <row r="358" ht="14.25" customHeight="1">
      <c r="G358" s="55"/>
    </row>
    <row r="359" ht="14.25" customHeight="1">
      <c r="G359" s="55"/>
    </row>
    <row r="360" ht="14.25" customHeight="1">
      <c r="G360" s="55"/>
    </row>
    <row r="361" ht="14.25" customHeight="1">
      <c r="G361" s="55"/>
    </row>
    <row r="362" ht="14.25" customHeight="1">
      <c r="G362" s="55"/>
    </row>
    <row r="363" ht="14.25" customHeight="1">
      <c r="G363" s="55"/>
    </row>
    <row r="364" ht="14.25" customHeight="1">
      <c r="G364" s="55"/>
    </row>
    <row r="365" ht="14.25" customHeight="1">
      <c r="G365" s="55"/>
    </row>
    <row r="366" ht="14.25" customHeight="1">
      <c r="G366" s="55"/>
    </row>
    <row r="367" ht="14.25" customHeight="1">
      <c r="G367" s="55"/>
    </row>
    <row r="368" ht="14.25" customHeight="1">
      <c r="G368" s="55"/>
    </row>
    <row r="369" ht="14.25" customHeight="1">
      <c r="G369" s="55"/>
    </row>
    <row r="370" ht="14.25" customHeight="1">
      <c r="G370" s="55"/>
    </row>
    <row r="371" ht="14.25" customHeight="1">
      <c r="G371" s="55"/>
    </row>
    <row r="372" ht="14.25" customHeight="1">
      <c r="G372" s="55"/>
    </row>
    <row r="373" ht="14.25" customHeight="1">
      <c r="G373" s="55"/>
    </row>
    <row r="374" ht="14.25" customHeight="1">
      <c r="G374" s="55"/>
    </row>
    <row r="375" ht="14.25" customHeight="1">
      <c r="G375" s="55"/>
    </row>
    <row r="376" ht="14.25" customHeight="1">
      <c r="G376" s="55"/>
    </row>
    <row r="377" ht="14.25" customHeight="1">
      <c r="G377" s="55"/>
    </row>
    <row r="378" ht="14.25" customHeight="1">
      <c r="G378" s="55"/>
    </row>
    <row r="379" ht="14.25" customHeight="1">
      <c r="G379" s="55"/>
    </row>
    <row r="380" ht="14.25" customHeight="1">
      <c r="G380" s="55"/>
    </row>
    <row r="381" ht="14.25" customHeight="1">
      <c r="G381" s="55"/>
    </row>
    <row r="382" ht="14.25" customHeight="1">
      <c r="G382" s="55"/>
    </row>
    <row r="383" ht="14.25" customHeight="1">
      <c r="G383" s="55"/>
    </row>
    <row r="384" ht="14.25" customHeight="1">
      <c r="G384" s="55"/>
    </row>
    <row r="385" ht="14.25" customHeight="1">
      <c r="G385" s="55"/>
    </row>
    <row r="386" ht="14.25" customHeight="1">
      <c r="G386" s="55"/>
    </row>
    <row r="387" ht="14.25" customHeight="1">
      <c r="G387" s="55"/>
    </row>
    <row r="388" ht="14.25" customHeight="1">
      <c r="G388" s="55"/>
    </row>
    <row r="389" ht="14.25" customHeight="1">
      <c r="G389" s="55"/>
    </row>
    <row r="390" ht="14.25" customHeight="1">
      <c r="G390" s="55"/>
    </row>
    <row r="391" ht="14.25" customHeight="1">
      <c r="G391" s="55"/>
    </row>
    <row r="392" ht="14.25" customHeight="1">
      <c r="G392" s="55"/>
    </row>
    <row r="393" ht="14.25" customHeight="1">
      <c r="G393" s="55"/>
    </row>
    <row r="394" ht="14.25" customHeight="1">
      <c r="G394" s="55"/>
    </row>
    <row r="395" ht="14.25" customHeight="1">
      <c r="G395" s="55"/>
    </row>
    <row r="396" ht="14.25" customHeight="1">
      <c r="G396" s="55"/>
    </row>
    <row r="397" ht="14.25" customHeight="1">
      <c r="G397" s="55"/>
    </row>
    <row r="398" ht="14.25" customHeight="1">
      <c r="G398" s="55"/>
    </row>
    <row r="399" ht="14.25" customHeight="1">
      <c r="G399" s="55"/>
    </row>
    <row r="400" ht="14.25" customHeight="1">
      <c r="G400" s="55"/>
    </row>
    <row r="401" ht="14.25" customHeight="1">
      <c r="G401" s="55"/>
    </row>
    <row r="402" ht="14.25" customHeight="1">
      <c r="G402" s="55"/>
    </row>
    <row r="403" ht="14.25" customHeight="1">
      <c r="G403" s="55"/>
    </row>
    <row r="404" ht="14.25" customHeight="1">
      <c r="G404" s="55"/>
    </row>
    <row r="405" ht="14.25" customHeight="1">
      <c r="G405" s="55"/>
    </row>
    <row r="406" ht="14.25" customHeight="1">
      <c r="G406" s="55"/>
    </row>
    <row r="407" ht="14.25" customHeight="1">
      <c r="G407" s="55"/>
    </row>
    <row r="408" ht="14.25" customHeight="1">
      <c r="G408" s="55"/>
    </row>
    <row r="409" ht="14.25" customHeight="1">
      <c r="G409" s="55"/>
    </row>
    <row r="410" ht="14.25" customHeight="1">
      <c r="G410" s="55"/>
    </row>
    <row r="411" ht="14.25" customHeight="1">
      <c r="G411" s="55"/>
    </row>
    <row r="412" ht="14.25" customHeight="1">
      <c r="G412" s="55"/>
    </row>
    <row r="413" ht="14.25" customHeight="1">
      <c r="G413" s="55"/>
    </row>
    <row r="414" ht="14.25" customHeight="1">
      <c r="G414" s="55"/>
    </row>
    <row r="415" ht="14.25" customHeight="1">
      <c r="G415" s="55"/>
    </row>
    <row r="416" ht="14.25" customHeight="1">
      <c r="G416" s="55"/>
    </row>
    <row r="417" ht="14.25" customHeight="1">
      <c r="G417" s="55"/>
    </row>
    <row r="418" ht="14.25" customHeight="1">
      <c r="G418" s="55"/>
    </row>
    <row r="419" ht="14.25" customHeight="1">
      <c r="G419" s="55"/>
    </row>
    <row r="420" ht="14.25" customHeight="1">
      <c r="G420" s="55"/>
    </row>
    <row r="421" ht="14.25" customHeight="1">
      <c r="G421" s="55"/>
    </row>
    <row r="422" ht="14.25" customHeight="1">
      <c r="G422" s="55"/>
    </row>
    <row r="423" ht="14.25" customHeight="1">
      <c r="G423" s="55"/>
    </row>
    <row r="424" ht="14.25" customHeight="1">
      <c r="G424" s="55"/>
    </row>
    <row r="425" ht="14.25" customHeight="1">
      <c r="G425" s="55"/>
    </row>
    <row r="426" ht="14.25" customHeight="1">
      <c r="G426" s="55"/>
    </row>
    <row r="427" ht="14.25" customHeight="1">
      <c r="G427" s="55"/>
    </row>
    <row r="428" ht="14.25" customHeight="1">
      <c r="G428" s="55"/>
    </row>
    <row r="429" ht="14.25" customHeight="1">
      <c r="G429" s="55"/>
    </row>
    <row r="430" ht="14.25" customHeight="1">
      <c r="G430" s="55"/>
    </row>
    <row r="431" ht="14.25" customHeight="1">
      <c r="G431" s="55"/>
    </row>
    <row r="432" ht="14.25" customHeight="1">
      <c r="G432" s="55"/>
    </row>
    <row r="433" ht="14.25" customHeight="1">
      <c r="G433" s="55"/>
    </row>
    <row r="434" ht="14.25" customHeight="1">
      <c r="G434" s="55"/>
    </row>
    <row r="435" ht="14.25" customHeight="1">
      <c r="G435" s="55"/>
    </row>
    <row r="436" ht="14.25" customHeight="1">
      <c r="G436" s="55"/>
    </row>
    <row r="437" ht="14.25" customHeight="1">
      <c r="G437" s="55"/>
    </row>
    <row r="438" ht="14.25" customHeight="1">
      <c r="G438" s="55"/>
    </row>
    <row r="439" ht="14.25" customHeight="1">
      <c r="G439" s="55"/>
    </row>
    <row r="440" ht="14.25" customHeight="1">
      <c r="G440" s="55"/>
    </row>
    <row r="441" ht="14.25" customHeight="1">
      <c r="G441" s="55"/>
    </row>
    <row r="442" ht="14.25" customHeight="1">
      <c r="G442" s="55"/>
    </row>
    <row r="443" ht="14.25" customHeight="1">
      <c r="G443" s="55"/>
    </row>
    <row r="444" ht="14.25" customHeight="1">
      <c r="G444" s="55"/>
    </row>
    <row r="445" ht="14.25" customHeight="1">
      <c r="G445" s="55"/>
    </row>
    <row r="446" ht="14.25" customHeight="1">
      <c r="G446" s="55"/>
    </row>
    <row r="447" ht="14.25" customHeight="1">
      <c r="G447" s="55"/>
    </row>
    <row r="448" ht="14.25" customHeight="1">
      <c r="G448" s="55"/>
    </row>
    <row r="449" ht="14.25" customHeight="1">
      <c r="G449" s="55"/>
    </row>
    <row r="450" ht="14.25" customHeight="1">
      <c r="G450" s="55"/>
    </row>
    <row r="451" ht="14.25" customHeight="1">
      <c r="G451" s="55"/>
    </row>
    <row r="452" ht="14.25" customHeight="1">
      <c r="G452" s="55"/>
    </row>
    <row r="453" ht="14.25" customHeight="1">
      <c r="G453" s="55"/>
    </row>
    <row r="454" ht="14.25" customHeight="1">
      <c r="G454" s="55"/>
    </row>
    <row r="455" ht="14.25" customHeight="1">
      <c r="G455" s="55"/>
    </row>
    <row r="456" ht="14.25" customHeight="1">
      <c r="G456" s="55"/>
    </row>
    <row r="457" ht="14.25" customHeight="1">
      <c r="G457" s="55"/>
    </row>
    <row r="458" ht="14.25" customHeight="1">
      <c r="G458" s="55"/>
    </row>
    <row r="459" ht="14.25" customHeight="1">
      <c r="G459" s="55"/>
    </row>
    <row r="460" ht="14.25" customHeight="1">
      <c r="G460" s="55"/>
    </row>
    <row r="461" ht="14.25" customHeight="1">
      <c r="G461" s="55"/>
    </row>
    <row r="462" ht="14.25" customHeight="1">
      <c r="G462" s="55"/>
    </row>
    <row r="463" ht="14.25" customHeight="1">
      <c r="G463" s="55"/>
    </row>
    <row r="464" ht="14.25" customHeight="1">
      <c r="G464" s="55"/>
    </row>
    <row r="465" ht="14.25" customHeight="1">
      <c r="G465" s="55"/>
    </row>
    <row r="466" ht="14.25" customHeight="1">
      <c r="G466" s="55"/>
    </row>
    <row r="467" ht="14.25" customHeight="1">
      <c r="G467" s="55"/>
    </row>
    <row r="468" ht="14.25" customHeight="1">
      <c r="G468" s="55"/>
    </row>
    <row r="469" ht="14.25" customHeight="1">
      <c r="G469" s="55"/>
    </row>
    <row r="470" ht="14.25" customHeight="1">
      <c r="G470" s="55"/>
    </row>
    <row r="471" ht="14.25" customHeight="1">
      <c r="G471" s="55"/>
    </row>
    <row r="472" ht="14.25" customHeight="1">
      <c r="G472" s="55"/>
    </row>
    <row r="473" ht="14.25" customHeight="1">
      <c r="G473" s="55"/>
    </row>
    <row r="474" ht="14.25" customHeight="1">
      <c r="G474" s="55"/>
    </row>
    <row r="475" ht="14.25" customHeight="1">
      <c r="G475" s="55"/>
    </row>
    <row r="476" ht="14.25" customHeight="1">
      <c r="G476" s="55"/>
    </row>
    <row r="477" ht="14.25" customHeight="1">
      <c r="G477" s="55"/>
    </row>
    <row r="478" ht="14.25" customHeight="1">
      <c r="G478" s="55"/>
    </row>
    <row r="479" ht="14.25" customHeight="1">
      <c r="G479" s="55"/>
    </row>
    <row r="480" ht="14.25" customHeight="1">
      <c r="G480" s="55"/>
    </row>
    <row r="481" ht="14.25" customHeight="1">
      <c r="G481" s="55"/>
    </row>
    <row r="482" ht="14.25" customHeight="1">
      <c r="G482" s="55"/>
    </row>
    <row r="483" ht="14.25" customHeight="1">
      <c r="G483" s="55"/>
    </row>
    <row r="484" ht="14.25" customHeight="1">
      <c r="G484" s="55"/>
    </row>
    <row r="485" ht="14.25" customHeight="1">
      <c r="G485" s="55"/>
    </row>
    <row r="486" ht="14.25" customHeight="1">
      <c r="G486" s="55"/>
    </row>
    <row r="487" ht="14.25" customHeight="1">
      <c r="G487" s="55"/>
    </row>
    <row r="488" ht="14.25" customHeight="1">
      <c r="G488" s="55"/>
    </row>
    <row r="489" ht="14.25" customHeight="1">
      <c r="G489" s="55"/>
    </row>
    <row r="490" ht="14.25" customHeight="1">
      <c r="G490" s="55"/>
    </row>
    <row r="491" ht="14.25" customHeight="1">
      <c r="G491" s="55"/>
    </row>
    <row r="492" ht="14.25" customHeight="1">
      <c r="G492" s="55"/>
    </row>
    <row r="493" ht="14.25" customHeight="1">
      <c r="G493" s="55"/>
    </row>
    <row r="494" ht="14.25" customHeight="1">
      <c r="G494" s="55"/>
    </row>
    <row r="495" ht="14.25" customHeight="1">
      <c r="G495" s="55"/>
    </row>
    <row r="496" ht="14.25" customHeight="1">
      <c r="G496" s="55"/>
    </row>
    <row r="497" ht="14.25" customHeight="1">
      <c r="G497" s="55"/>
    </row>
    <row r="498" ht="14.25" customHeight="1">
      <c r="G498" s="55"/>
    </row>
    <row r="499" ht="14.25" customHeight="1">
      <c r="G499" s="55"/>
    </row>
    <row r="500" ht="14.25" customHeight="1">
      <c r="G500" s="55"/>
    </row>
    <row r="501" ht="14.25" customHeight="1">
      <c r="G501" s="55"/>
    </row>
    <row r="502" ht="14.25" customHeight="1">
      <c r="G502" s="55"/>
    </row>
    <row r="503" ht="14.25" customHeight="1">
      <c r="G503" s="55"/>
    </row>
    <row r="504" ht="14.25" customHeight="1">
      <c r="G504" s="55"/>
    </row>
    <row r="505" ht="14.25" customHeight="1">
      <c r="G505" s="55"/>
    </row>
    <row r="506" ht="14.25" customHeight="1">
      <c r="G506" s="55"/>
    </row>
    <row r="507" ht="14.25" customHeight="1">
      <c r="G507" s="55"/>
    </row>
    <row r="508" ht="14.25" customHeight="1">
      <c r="G508" s="55"/>
    </row>
    <row r="509" ht="14.25" customHeight="1">
      <c r="G509" s="55"/>
    </row>
    <row r="510" ht="14.25" customHeight="1">
      <c r="G510" s="55"/>
    </row>
    <row r="511" ht="14.25" customHeight="1">
      <c r="G511" s="55"/>
    </row>
    <row r="512" ht="14.25" customHeight="1">
      <c r="G512" s="55"/>
    </row>
    <row r="513" ht="14.25" customHeight="1">
      <c r="G513" s="55"/>
    </row>
    <row r="514" ht="14.25" customHeight="1">
      <c r="G514" s="55"/>
    </row>
    <row r="515" ht="14.25" customHeight="1">
      <c r="G515" s="55"/>
    </row>
    <row r="516" ht="14.25" customHeight="1">
      <c r="G516" s="55"/>
    </row>
    <row r="517" ht="14.25" customHeight="1">
      <c r="G517" s="55"/>
    </row>
    <row r="518" ht="14.25" customHeight="1">
      <c r="G518" s="55"/>
    </row>
    <row r="519" ht="14.25" customHeight="1">
      <c r="G519" s="55"/>
    </row>
    <row r="520" ht="14.25" customHeight="1">
      <c r="G520" s="55"/>
    </row>
    <row r="521" ht="14.25" customHeight="1">
      <c r="G521" s="55"/>
    </row>
    <row r="522" ht="14.25" customHeight="1">
      <c r="G522" s="55"/>
    </row>
    <row r="523" ht="14.25" customHeight="1">
      <c r="G523" s="55"/>
    </row>
    <row r="524" ht="14.25" customHeight="1">
      <c r="G524" s="55"/>
    </row>
    <row r="525" ht="14.25" customHeight="1">
      <c r="G525" s="55"/>
    </row>
    <row r="526" ht="14.25" customHeight="1">
      <c r="G526" s="55"/>
    </row>
    <row r="527" ht="14.25" customHeight="1">
      <c r="G527" s="55"/>
    </row>
    <row r="528" ht="14.25" customHeight="1">
      <c r="G528" s="55"/>
    </row>
    <row r="529" ht="14.25" customHeight="1">
      <c r="G529" s="55"/>
    </row>
    <row r="530" ht="14.25" customHeight="1">
      <c r="G530" s="55"/>
    </row>
    <row r="531" ht="14.25" customHeight="1">
      <c r="G531" s="55"/>
    </row>
    <row r="532" ht="14.25" customHeight="1">
      <c r="G532" s="55"/>
    </row>
    <row r="533" ht="14.25" customHeight="1">
      <c r="G533" s="55"/>
    </row>
    <row r="534" ht="14.25" customHeight="1">
      <c r="G534" s="55"/>
    </row>
    <row r="535" ht="14.25" customHeight="1">
      <c r="G535" s="55"/>
    </row>
    <row r="536" ht="14.25" customHeight="1">
      <c r="G536" s="55"/>
    </row>
    <row r="537" ht="14.25" customHeight="1">
      <c r="G537" s="55"/>
    </row>
    <row r="538" ht="14.25" customHeight="1">
      <c r="G538" s="55"/>
    </row>
    <row r="539" ht="14.25" customHeight="1">
      <c r="G539" s="55"/>
    </row>
    <row r="540" ht="14.25" customHeight="1">
      <c r="G540" s="55"/>
    </row>
    <row r="541" ht="14.25" customHeight="1">
      <c r="G541" s="55"/>
    </row>
    <row r="542" ht="14.25" customHeight="1">
      <c r="G542" s="55"/>
    </row>
    <row r="543" ht="14.25" customHeight="1">
      <c r="G543" s="55"/>
    </row>
    <row r="544" ht="14.25" customHeight="1">
      <c r="G544" s="55"/>
    </row>
    <row r="545" ht="14.25" customHeight="1">
      <c r="G545" s="55"/>
    </row>
    <row r="546" ht="14.25" customHeight="1">
      <c r="G546" s="55"/>
    </row>
    <row r="547" ht="14.25" customHeight="1">
      <c r="G547" s="55"/>
    </row>
    <row r="548" ht="14.25" customHeight="1">
      <c r="G548" s="55"/>
    </row>
    <row r="549" ht="14.25" customHeight="1">
      <c r="G549" s="55"/>
    </row>
    <row r="550" ht="14.25" customHeight="1">
      <c r="G550" s="55"/>
    </row>
    <row r="551" ht="14.25" customHeight="1">
      <c r="G551" s="55"/>
    </row>
    <row r="552" ht="14.25" customHeight="1">
      <c r="G552" s="55"/>
    </row>
    <row r="553" ht="14.25" customHeight="1">
      <c r="G553" s="55"/>
    </row>
    <row r="554" ht="14.25" customHeight="1">
      <c r="G554" s="55"/>
    </row>
    <row r="555" ht="14.25" customHeight="1">
      <c r="G555" s="55"/>
    </row>
    <row r="556" ht="14.25" customHeight="1">
      <c r="G556" s="55"/>
    </row>
    <row r="557" ht="14.25" customHeight="1">
      <c r="G557" s="55"/>
    </row>
    <row r="558" ht="14.25" customHeight="1">
      <c r="G558" s="55"/>
    </row>
    <row r="559" ht="14.25" customHeight="1">
      <c r="G559" s="55"/>
    </row>
    <row r="560" ht="14.25" customHeight="1">
      <c r="G560" s="55"/>
    </row>
    <row r="561" ht="14.25" customHeight="1">
      <c r="G561" s="55"/>
    </row>
    <row r="562" ht="14.25" customHeight="1">
      <c r="G562" s="55"/>
    </row>
    <row r="563" ht="14.25" customHeight="1">
      <c r="G563" s="55"/>
    </row>
    <row r="564" ht="14.25" customHeight="1">
      <c r="G564" s="55"/>
    </row>
    <row r="565" ht="14.25" customHeight="1">
      <c r="G565" s="55"/>
    </row>
    <row r="566" ht="14.25" customHeight="1">
      <c r="G566" s="55"/>
    </row>
    <row r="567" ht="14.25" customHeight="1">
      <c r="G567" s="55"/>
    </row>
    <row r="568" ht="14.25" customHeight="1">
      <c r="G568" s="55"/>
    </row>
    <row r="569" ht="14.25" customHeight="1">
      <c r="G569" s="55"/>
    </row>
    <row r="570" ht="14.25" customHeight="1">
      <c r="G570" s="55"/>
    </row>
    <row r="571" ht="14.25" customHeight="1">
      <c r="G571" s="55"/>
    </row>
    <row r="572" ht="14.25" customHeight="1">
      <c r="G572" s="55"/>
    </row>
    <row r="573" ht="14.25" customHeight="1">
      <c r="G573" s="55"/>
    </row>
    <row r="574" ht="14.25" customHeight="1">
      <c r="G574" s="55"/>
    </row>
    <row r="575" ht="14.25" customHeight="1">
      <c r="G575" s="55"/>
    </row>
    <row r="576" ht="14.25" customHeight="1">
      <c r="G576" s="55"/>
    </row>
    <row r="577" ht="14.25" customHeight="1">
      <c r="G577" s="55"/>
    </row>
    <row r="578" ht="14.25" customHeight="1">
      <c r="G578" s="55"/>
    </row>
    <row r="579" ht="14.25" customHeight="1">
      <c r="G579" s="55"/>
    </row>
    <row r="580" ht="14.25" customHeight="1">
      <c r="G580" s="55"/>
    </row>
    <row r="581" ht="14.25" customHeight="1">
      <c r="G581" s="55"/>
    </row>
    <row r="582" ht="14.25" customHeight="1">
      <c r="G582" s="55"/>
    </row>
    <row r="583" ht="14.25" customHeight="1">
      <c r="G583" s="55"/>
    </row>
    <row r="584" ht="14.25" customHeight="1">
      <c r="G584" s="55"/>
    </row>
    <row r="585" ht="14.25" customHeight="1">
      <c r="G585" s="55"/>
    </row>
    <row r="586" ht="14.25" customHeight="1">
      <c r="G586" s="55"/>
    </row>
    <row r="587" ht="14.25" customHeight="1">
      <c r="G587" s="55"/>
    </row>
    <row r="588" ht="14.25" customHeight="1">
      <c r="G588" s="55"/>
    </row>
    <row r="589" ht="14.25" customHeight="1">
      <c r="G589" s="55"/>
    </row>
    <row r="590" ht="14.25" customHeight="1">
      <c r="G590" s="55"/>
    </row>
    <row r="591" ht="14.25" customHeight="1">
      <c r="G591" s="55"/>
    </row>
    <row r="592" ht="14.25" customHeight="1">
      <c r="G592" s="55"/>
    </row>
    <row r="593" ht="14.25" customHeight="1">
      <c r="G593" s="55"/>
    </row>
    <row r="594" ht="14.25" customHeight="1">
      <c r="G594" s="55"/>
    </row>
    <row r="595" ht="14.25" customHeight="1">
      <c r="G595" s="55"/>
    </row>
    <row r="596" ht="14.25" customHeight="1">
      <c r="G596" s="55"/>
    </row>
    <row r="597" ht="14.25" customHeight="1">
      <c r="G597" s="55"/>
    </row>
    <row r="598" ht="14.25" customHeight="1">
      <c r="G598" s="55"/>
    </row>
    <row r="599" ht="14.25" customHeight="1">
      <c r="G599" s="55"/>
    </row>
    <row r="600" ht="14.25" customHeight="1">
      <c r="G600" s="55"/>
    </row>
    <row r="601" ht="14.25" customHeight="1">
      <c r="G601" s="55"/>
    </row>
    <row r="602" ht="14.25" customHeight="1">
      <c r="G602" s="55"/>
    </row>
    <row r="603" ht="14.25" customHeight="1">
      <c r="G603" s="55"/>
    </row>
    <row r="604" ht="14.25" customHeight="1">
      <c r="G604" s="55"/>
    </row>
    <row r="605" ht="14.25" customHeight="1">
      <c r="G605" s="55"/>
    </row>
    <row r="606" ht="14.25" customHeight="1">
      <c r="G606" s="55"/>
    </row>
    <row r="607" ht="14.25" customHeight="1">
      <c r="G607" s="55"/>
    </row>
    <row r="608" ht="14.25" customHeight="1">
      <c r="G608" s="55"/>
    </row>
    <row r="609" ht="14.25" customHeight="1">
      <c r="G609" s="55"/>
    </row>
    <row r="610" ht="14.25" customHeight="1">
      <c r="G610" s="55"/>
    </row>
    <row r="611" ht="14.25" customHeight="1">
      <c r="G611" s="55"/>
    </row>
    <row r="612" ht="14.25" customHeight="1">
      <c r="G612" s="55"/>
    </row>
    <row r="613" ht="14.25" customHeight="1">
      <c r="G613" s="55"/>
    </row>
    <row r="614" ht="14.25" customHeight="1">
      <c r="G614" s="55"/>
    </row>
    <row r="615" ht="14.25" customHeight="1">
      <c r="G615" s="55"/>
    </row>
    <row r="616" ht="14.25" customHeight="1">
      <c r="G616" s="55"/>
    </row>
    <row r="617" ht="14.25" customHeight="1">
      <c r="G617" s="55"/>
    </row>
    <row r="618" ht="14.25" customHeight="1">
      <c r="G618" s="55"/>
    </row>
    <row r="619" ht="14.25" customHeight="1">
      <c r="G619" s="55"/>
    </row>
    <row r="620" ht="14.25" customHeight="1">
      <c r="G620" s="55"/>
    </row>
    <row r="621" ht="14.25" customHeight="1">
      <c r="G621" s="55"/>
    </row>
    <row r="622" ht="14.25" customHeight="1">
      <c r="G622" s="55"/>
    </row>
    <row r="623" ht="14.25" customHeight="1">
      <c r="G623" s="55"/>
    </row>
    <row r="624" ht="14.25" customHeight="1">
      <c r="G624" s="55"/>
    </row>
    <row r="625" ht="14.25" customHeight="1">
      <c r="G625" s="55"/>
    </row>
    <row r="626" ht="14.25" customHeight="1">
      <c r="G626" s="55"/>
    </row>
    <row r="627" ht="14.25" customHeight="1">
      <c r="G627" s="55"/>
    </row>
    <row r="628" ht="14.25" customHeight="1">
      <c r="G628" s="55"/>
    </row>
    <row r="629" ht="14.25" customHeight="1">
      <c r="G629" s="55"/>
    </row>
    <row r="630" ht="14.25" customHeight="1">
      <c r="G630" s="55"/>
    </row>
    <row r="631" ht="14.25" customHeight="1">
      <c r="G631" s="55"/>
    </row>
    <row r="632" ht="14.25" customHeight="1">
      <c r="G632" s="55"/>
    </row>
    <row r="633" ht="14.25" customHeight="1">
      <c r="G633" s="55"/>
    </row>
    <row r="634" ht="14.25" customHeight="1">
      <c r="G634" s="55"/>
    </row>
    <row r="635" ht="14.25" customHeight="1">
      <c r="G635" s="55"/>
    </row>
    <row r="636" ht="14.25" customHeight="1">
      <c r="G636" s="55"/>
    </row>
    <row r="637" ht="14.25" customHeight="1">
      <c r="G637" s="55"/>
    </row>
    <row r="638" ht="14.25" customHeight="1">
      <c r="G638" s="55"/>
    </row>
    <row r="639" ht="14.25" customHeight="1">
      <c r="G639" s="55"/>
    </row>
    <row r="640" ht="14.25" customHeight="1">
      <c r="G640" s="55"/>
    </row>
    <row r="641" ht="14.25" customHeight="1">
      <c r="G641" s="55"/>
    </row>
    <row r="642" ht="14.25" customHeight="1">
      <c r="G642" s="55"/>
    </row>
    <row r="643" ht="14.25" customHeight="1">
      <c r="G643" s="55"/>
    </row>
    <row r="644" ht="14.25" customHeight="1">
      <c r="G644" s="55"/>
    </row>
    <row r="645" ht="14.25" customHeight="1">
      <c r="G645" s="55"/>
    </row>
    <row r="646" ht="14.25" customHeight="1">
      <c r="G646" s="55"/>
    </row>
    <row r="647" ht="14.25" customHeight="1">
      <c r="G647" s="55"/>
    </row>
    <row r="648" ht="14.25" customHeight="1">
      <c r="G648" s="55"/>
    </row>
    <row r="649" ht="14.25" customHeight="1">
      <c r="G649" s="55"/>
    </row>
    <row r="650" ht="14.25" customHeight="1">
      <c r="G650" s="55"/>
    </row>
    <row r="651" ht="14.25" customHeight="1">
      <c r="G651" s="55"/>
    </row>
    <row r="652" ht="14.25" customHeight="1">
      <c r="G652" s="55"/>
    </row>
    <row r="653" ht="14.25" customHeight="1">
      <c r="G653" s="55"/>
    </row>
    <row r="654" ht="14.25" customHeight="1">
      <c r="G654" s="55"/>
    </row>
    <row r="655" ht="14.25" customHeight="1">
      <c r="G655" s="55"/>
    </row>
    <row r="656" ht="14.25" customHeight="1">
      <c r="G656" s="55"/>
    </row>
    <row r="657" ht="14.25" customHeight="1">
      <c r="G657" s="55"/>
    </row>
    <row r="658" ht="14.25" customHeight="1">
      <c r="G658" s="55"/>
    </row>
    <row r="659" ht="14.25" customHeight="1">
      <c r="G659" s="55"/>
    </row>
    <row r="660" ht="14.25" customHeight="1">
      <c r="G660" s="55"/>
    </row>
    <row r="661" ht="14.25" customHeight="1">
      <c r="G661" s="55"/>
    </row>
    <row r="662" ht="14.25" customHeight="1">
      <c r="G662" s="55"/>
    </row>
    <row r="663" ht="14.25" customHeight="1">
      <c r="G663" s="55"/>
    </row>
    <row r="664" ht="14.25" customHeight="1">
      <c r="G664" s="55"/>
    </row>
    <row r="665" ht="14.25" customHeight="1">
      <c r="G665" s="55"/>
    </row>
    <row r="666" ht="14.25" customHeight="1">
      <c r="G666" s="55"/>
    </row>
    <row r="667" ht="14.25" customHeight="1">
      <c r="G667" s="55"/>
    </row>
    <row r="668" ht="14.25" customHeight="1">
      <c r="G668" s="55"/>
    </row>
    <row r="669" ht="14.25" customHeight="1">
      <c r="G669" s="55"/>
    </row>
    <row r="670" ht="14.25" customHeight="1">
      <c r="G670" s="55"/>
    </row>
    <row r="671" ht="14.25" customHeight="1">
      <c r="G671" s="55"/>
    </row>
    <row r="672" ht="14.25" customHeight="1">
      <c r="G672" s="55"/>
    </row>
    <row r="673" ht="14.25" customHeight="1">
      <c r="G673" s="55"/>
    </row>
    <row r="674" ht="14.25" customHeight="1">
      <c r="G674" s="55"/>
    </row>
    <row r="675" ht="14.25" customHeight="1">
      <c r="G675" s="55"/>
    </row>
    <row r="676" ht="14.25" customHeight="1">
      <c r="G676" s="55"/>
    </row>
    <row r="677" ht="14.25" customHeight="1">
      <c r="G677" s="55"/>
    </row>
    <row r="678" ht="14.25" customHeight="1">
      <c r="G678" s="55"/>
    </row>
    <row r="679" ht="14.25" customHeight="1">
      <c r="G679" s="55"/>
    </row>
    <row r="680" ht="14.25" customHeight="1">
      <c r="G680" s="55"/>
    </row>
    <row r="681" ht="14.25" customHeight="1">
      <c r="G681" s="55"/>
    </row>
    <row r="682" ht="14.25" customHeight="1">
      <c r="G682" s="55"/>
    </row>
    <row r="683" ht="14.25" customHeight="1">
      <c r="G683" s="55"/>
    </row>
    <row r="684" ht="14.25" customHeight="1">
      <c r="G684" s="55"/>
    </row>
    <row r="685" ht="14.25" customHeight="1">
      <c r="G685" s="55"/>
    </row>
    <row r="686" ht="14.25" customHeight="1">
      <c r="G686" s="55"/>
    </row>
    <row r="687" ht="14.25" customHeight="1">
      <c r="G687" s="55"/>
    </row>
    <row r="688" ht="14.25" customHeight="1">
      <c r="G688" s="55"/>
    </row>
    <row r="689" ht="14.25" customHeight="1">
      <c r="G689" s="55"/>
    </row>
    <row r="690" ht="14.25" customHeight="1">
      <c r="G690" s="55"/>
    </row>
    <row r="691" ht="14.25" customHeight="1">
      <c r="G691" s="55"/>
    </row>
    <row r="692" ht="14.25" customHeight="1">
      <c r="G692" s="55"/>
    </row>
    <row r="693" ht="14.25" customHeight="1">
      <c r="G693" s="55"/>
    </row>
    <row r="694" ht="14.25" customHeight="1">
      <c r="G694" s="55"/>
    </row>
    <row r="695" ht="14.25" customHeight="1">
      <c r="G695" s="55"/>
    </row>
    <row r="696" ht="14.25" customHeight="1">
      <c r="G696" s="55"/>
    </row>
    <row r="697" ht="14.25" customHeight="1">
      <c r="G697" s="55"/>
    </row>
    <row r="698" ht="14.25" customHeight="1">
      <c r="G698" s="55"/>
    </row>
    <row r="699" ht="14.25" customHeight="1">
      <c r="G699" s="55"/>
    </row>
    <row r="700" ht="14.25" customHeight="1">
      <c r="G700" s="55"/>
    </row>
    <row r="701" ht="14.25" customHeight="1">
      <c r="G701" s="55"/>
    </row>
    <row r="702" ht="14.25" customHeight="1">
      <c r="G702" s="55"/>
    </row>
    <row r="703" ht="14.25" customHeight="1">
      <c r="G703" s="55"/>
    </row>
    <row r="704" ht="14.25" customHeight="1">
      <c r="G704" s="55"/>
    </row>
    <row r="705" ht="14.25" customHeight="1">
      <c r="G705" s="55"/>
    </row>
    <row r="706" ht="14.25" customHeight="1">
      <c r="G706" s="55"/>
    </row>
    <row r="707" ht="14.25" customHeight="1">
      <c r="G707" s="55"/>
    </row>
    <row r="708" ht="14.25" customHeight="1">
      <c r="G708" s="55"/>
    </row>
    <row r="709" ht="14.25" customHeight="1">
      <c r="G709" s="55"/>
    </row>
    <row r="710" ht="14.25" customHeight="1">
      <c r="G710" s="55"/>
    </row>
    <row r="711" ht="14.25" customHeight="1">
      <c r="G711" s="55"/>
    </row>
    <row r="712" ht="14.25" customHeight="1">
      <c r="G712" s="55"/>
    </row>
    <row r="713" ht="14.25" customHeight="1">
      <c r="G713" s="55"/>
    </row>
    <row r="714" ht="14.25" customHeight="1">
      <c r="G714" s="55"/>
    </row>
    <row r="715" ht="14.25" customHeight="1">
      <c r="G715" s="55"/>
    </row>
    <row r="716" ht="14.25" customHeight="1">
      <c r="G716" s="55"/>
    </row>
    <row r="717" ht="14.25" customHeight="1">
      <c r="G717" s="55"/>
    </row>
    <row r="718" ht="14.25" customHeight="1">
      <c r="G718" s="55"/>
    </row>
    <row r="719" ht="14.25" customHeight="1">
      <c r="G719" s="55"/>
    </row>
    <row r="720" ht="14.25" customHeight="1">
      <c r="G720" s="55"/>
    </row>
    <row r="721" ht="14.25" customHeight="1">
      <c r="G721" s="55"/>
    </row>
    <row r="722" ht="14.25" customHeight="1">
      <c r="G722" s="55"/>
    </row>
    <row r="723" ht="14.25" customHeight="1">
      <c r="G723" s="55"/>
    </row>
    <row r="724" ht="14.25" customHeight="1">
      <c r="G724" s="55"/>
    </row>
    <row r="725" ht="14.25" customHeight="1">
      <c r="G725" s="55"/>
    </row>
    <row r="726" ht="14.25" customHeight="1">
      <c r="G726" s="55"/>
    </row>
    <row r="727" ht="14.25" customHeight="1">
      <c r="G727" s="55"/>
    </row>
    <row r="728" ht="14.25" customHeight="1">
      <c r="G728" s="55"/>
    </row>
    <row r="729" ht="14.25" customHeight="1">
      <c r="G729" s="55"/>
    </row>
    <row r="730" ht="14.25" customHeight="1">
      <c r="G730" s="55"/>
    </row>
    <row r="731" ht="14.25" customHeight="1">
      <c r="G731" s="55"/>
    </row>
    <row r="732" ht="14.25" customHeight="1">
      <c r="G732" s="55"/>
    </row>
    <row r="733" ht="14.25" customHeight="1">
      <c r="G733" s="55"/>
    </row>
    <row r="734" ht="14.25" customHeight="1">
      <c r="G734" s="55"/>
    </row>
    <row r="735" ht="14.25" customHeight="1">
      <c r="G735" s="55"/>
    </row>
    <row r="736" ht="14.25" customHeight="1">
      <c r="G736" s="55"/>
    </row>
    <row r="737" ht="14.25" customHeight="1">
      <c r="G737" s="55"/>
    </row>
    <row r="738" ht="14.25" customHeight="1">
      <c r="G738" s="55"/>
    </row>
    <row r="739" ht="14.25" customHeight="1">
      <c r="G739" s="55"/>
    </row>
    <row r="740" ht="14.25" customHeight="1">
      <c r="G740" s="55"/>
    </row>
    <row r="741" ht="14.25" customHeight="1">
      <c r="G741" s="55"/>
    </row>
    <row r="742" ht="14.25" customHeight="1">
      <c r="G742" s="55"/>
    </row>
    <row r="743" ht="14.25" customHeight="1">
      <c r="G743" s="55"/>
    </row>
    <row r="744" ht="14.25" customHeight="1">
      <c r="G744" s="55"/>
    </row>
    <row r="745" ht="14.25" customHeight="1">
      <c r="G745" s="55"/>
    </row>
    <row r="746" ht="14.25" customHeight="1">
      <c r="G746" s="55"/>
    </row>
    <row r="747" ht="14.25" customHeight="1">
      <c r="G747" s="55"/>
    </row>
    <row r="748" ht="14.25" customHeight="1">
      <c r="G748" s="55"/>
    </row>
    <row r="749" ht="14.25" customHeight="1">
      <c r="G749" s="55"/>
    </row>
    <row r="750" ht="14.25" customHeight="1">
      <c r="G750" s="55"/>
    </row>
    <row r="751" ht="14.25" customHeight="1">
      <c r="G751" s="55"/>
    </row>
    <row r="752" ht="14.25" customHeight="1">
      <c r="G752" s="55"/>
    </row>
    <row r="753" ht="14.25" customHeight="1">
      <c r="G753" s="55"/>
    </row>
    <row r="754" ht="14.25" customHeight="1">
      <c r="G754" s="55"/>
    </row>
    <row r="755" ht="14.25" customHeight="1">
      <c r="G755" s="55"/>
    </row>
    <row r="756" ht="14.25" customHeight="1">
      <c r="G756" s="55"/>
    </row>
    <row r="757" ht="14.25" customHeight="1">
      <c r="G757" s="55"/>
    </row>
    <row r="758" ht="14.25" customHeight="1">
      <c r="G758" s="55"/>
    </row>
    <row r="759" ht="14.25" customHeight="1">
      <c r="G759" s="55"/>
    </row>
    <row r="760" ht="14.25" customHeight="1">
      <c r="G760" s="55"/>
    </row>
    <row r="761" ht="14.25" customHeight="1">
      <c r="G761" s="55"/>
    </row>
    <row r="762" ht="14.25" customHeight="1">
      <c r="G762" s="55"/>
    </row>
    <row r="763" ht="14.25" customHeight="1">
      <c r="G763" s="55"/>
    </row>
    <row r="764" ht="14.25" customHeight="1">
      <c r="G764" s="55"/>
    </row>
    <row r="765" ht="14.25" customHeight="1">
      <c r="G765" s="55"/>
    </row>
    <row r="766" ht="14.25" customHeight="1">
      <c r="G766" s="55"/>
    </row>
    <row r="767" ht="14.25" customHeight="1">
      <c r="G767" s="55"/>
    </row>
    <row r="768" ht="14.25" customHeight="1">
      <c r="G768" s="55"/>
    </row>
    <row r="769" ht="14.25" customHeight="1">
      <c r="G769" s="55"/>
    </row>
    <row r="770" ht="14.25" customHeight="1">
      <c r="G770" s="55"/>
    </row>
    <row r="771" ht="14.25" customHeight="1">
      <c r="G771" s="55"/>
    </row>
    <row r="772" ht="14.25" customHeight="1">
      <c r="G772" s="55"/>
    </row>
    <row r="773" ht="14.25" customHeight="1">
      <c r="G773" s="55"/>
    </row>
    <row r="774" ht="14.25" customHeight="1">
      <c r="G774" s="55"/>
    </row>
    <row r="775" ht="14.25" customHeight="1">
      <c r="G775" s="55"/>
    </row>
    <row r="776" ht="14.25" customHeight="1">
      <c r="G776" s="55"/>
    </row>
    <row r="777" ht="14.25" customHeight="1">
      <c r="G777" s="55"/>
    </row>
    <row r="778" ht="14.25" customHeight="1">
      <c r="G778" s="55"/>
    </row>
    <row r="779" ht="14.25" customHeight="1">
      <c r="G779" s="55"/>
    </row>
    <row r="780" ht="14.25" customHeight="1">
      <c r="G780" s="55"/>
    </row>
    <row r="781" ht="14.25" customHeight="1">
      <c r="G781" s="55"/>
    </row>
    <row r="782" ht="14.25" customHeight="1">
      <c r="G782" s="55"/>
    </row>
    <row r="783" ht="14.25" customHeight="1">
      <c r="G783" s="55"/>
    </row>
    <row r="784" ht="14.25" customHeight="1">
      <c r="G784" s="55"/>
    </row>
    <row r="785" ht="14.25" customHeight="1">
      <c r="G785" s="55"/>
    </row>
    <row r="786" ht="14.25" customHeight="1">
      <c r="G786" s="55"/>
    </row>
    <row r="787" ht="14.25" customHeight="1">
      <c r="G787" s="55"/>
    </row>
    <row r="788" ht="14.25" customHeight="1">
      <c r="G788" s="55"/>
    </row>
    <row r="789" ht="14.25" customHeight="1">
      <c r="G789" s="55"/>
    </row>
    <row r="790" ht="14.25" customHeight="1">
      <c r="G790" s="55"/>
    </row>
    <row r="791" ht="14.25" customHeight="1">
      <c r="G791" s="55"/>
    </row>
    <row r="792" ht="14.25" customHeight="1">
      <c r="G792" s="55"/>
    </row>
    <row r="793" ht="14.25" customHeight="1">
      <c r="G793" s="55"/>
    </row>
    <row r="794" ht="14.25" customHeight="1">
      <c r="G794" s="55"/>
    </row>
    <row r="795" ht="14.25" customHeight="1">
      <c r="G795" s="55"/>
    </row>
    <row r="796" ht="14.25" customHeight="1">
      <c r="G796" s="55"/>
    </row>
    <row r="797" ht="14.25" customHeight="1">
      <c r="G797" s="55"/>
    </row>
    <row r="798" ht="14.25" customHeight="1">
      <c r="G798" s="55"/>
    </row>
    <row r="799" ht="14.25" customHeight="1">
      <c r="G799" s="55"/>
    </row>
    <row r="800" ht="14.25" customHeight="1">
      <c r="G800" s="55"/>
    </row>
    <row r="801" ht="14.25" customHeight="1">
      <c r="G801" s="55"/>
    </row>
    <row r="802" ht="14.25" customHeight="1">
      <c r="G802" s="55"/>
    </row>
    <row r="803" ht="14.25" customHeight="1">
      <c r="G803" s="55"/>
    </row>
    <row r="804" ht="14.25" customHeight="1">
      <c r="G804" s="55"/>
    </row>
    <row r="805" ht="14.25" customHeight="1">
      <c r="G805" s="55"/>
    </row>
    <row r="806" ht="14.25" customHeight="1">
      <c r="G806" s="55"/>
    </row>
    <row r="807" ht="14.25" customHeight="1">
      <c r="G807" s="55"/>
    </row>
    <row r="808" ht="14.25" customHeight="1">
      <c r="G808" s="55"/>
    </row>
    <row r="809" ht="14.25" customHeight="1">
      <c r="G809" s="55"/>
    </row>
    <row r="810" ht="14.25" customHeight="1">
      <c r="G810" s="55"/>
    </row>
    <row r="811" ht="14.25" customHeight="1">
      <c r="G811" s="55"/>
    </row>
    <row r="812" ht="14.25" customHeight="1">
      <c r="G812" s="55"/>
    </row>
    <row r="813" ht="14.25" customHeight="1">
      <c r="G813" s="55"/>
    </row>
    <row r="814" ht="14.25" customHeight="1">
      <c r="G814" s="55"/>
    </row>
    <row r="815" ht="14.25" customHeight="1">
      <c r="G815" s="55"/>
    </row>
    <row r="816" ht="14.25" customHeight="1">
      <c r="G816" s="55"/>
    </row>
    <row r="817" ht="14.25" customHeight="1">
      <c r="G817" s="55"/>
    </row>
    <row r="818" ht="14.25" customHeight="1">
      <c r="G818" s="55"/>
    </row>
    <row r="819" ht="14.25" customHeight="1">
      <c r="G819" s="55"/>
    </row>
    <row r="820" ht="14.25" customHeight="1">
      <c r="G820" s="55"/>
    </row>
    <row r="821" ht="14.25" customHeight="1">
      <c r="G821" s="55"/>
    </row>
    <row r="822" ht="14.25" customHeight="1">
      <c r="G822" s="55"/>
    </row>
    <row r="823" ht="14.25" customHeight="1">
      <c r="G823" s="55"/>
    </row>
    <row r="824" ht="14.25" customHeight="1">
      <c r="G824" s="55"/>
    </row>
    <row r="825" ht="14.25" customHeight="1">
      <c r="G825" s="55"/>
    </row>
    <row r="826" ht="14.25" customHeight="1">
      <c r="G826" s="55"/>
    </row>
    <row r="827" ht="14.25" customHeight="1">
      <c r="G827" s="55"/>
    </row>
    <row r="828" ht="14.25" customHeight="1">
      <c r="G828" s="55"/>
    </row>
    <row r="829" ht="14.25" customHeight="1">
      <c r="G829" s="55"/>
    </row>
    <row r="830" ht="14.25" customHeight="1">
      <c r="G830" s="55"/>
    </row>
    <row r="831" ht="14.25" customHeight="1">
      <c r="G831" s="55"/>
    </row>
    <row r="832" ht="14.25" customHeight="1">
      <c r="G832" s="55"/>
    </row>
    <row r="833" ht="14.25" customHeight="1">
      <c r="G833" s="55"/>
    </row>
    <row r="834" ht="14.25" customHeight="1">
      <c r="G834" s="55"/>
    </row>
    <row r="835" ht="14.25" customHeight="1">
      <c r="G835" s="55"/>
    </row>
    <row r="836" ht="14.25" customHeight="1">
      <c r="G836" s="55"/>
    </row>
    <row r="837" ht="14.25" customHeight="1">
      <c r="G837" s="55"/>
    </row>
    <row r="838" ht="14.25" customHeight="1">
      <c r="G838" s="55"/>
    </row>
    <row r="839" ht="14.25" customHeight="1">
      <c r="G839" s="55"/>
    </row>
    <row r="840" ht="14.25" customHeight="1">
      <c r="G840" s="55"/>
    </row>
    <row r="841" ht="14.25" customHeight="1">
      <c r="G841" s="55"/>
    </row>
    <row r="842" ht="14.25" customHeight="1">
      <c r="G842" s="55"/>
    </row>
    <row r="843" ht="14.25" customHeight="1">
      <c r="G843" s="55"/>
    </row>
    <row r="844" ht="14.25" customHeight="1">
      <c r="G844" s="55"/>
    </row>
    <row r="845" ht="14.25" customHeight="1">
      <c r="G845" s="55"/>
    </row>
    <row r="846" ht="14.25" customHeight="1">
      <c r="G846" s="55"/>
    </row>
    <row r="847" ht="14.25" customHeight="1">
      <c r="G847" s="55"/>
    </row>
    <row r="848" ht="14.25" customHeight="1">
      <c r="G848" s="55"/>
    </row>
    <row r="849" ht="14.25" customHeight="1">
      <c r="G849" s="55"/>
    </row>
    <row r="850" ht="14.25" customHeight="1">
      <c r="G850" s="55"/>
    </row>
    <row r="851" ht="14.25" customHeight="1">
      <c r="G851" s="55"/>
    </row>
    <row r="852" ht="14.25" customHeight="1">
      <c r="G852" s="55"/>
    </row>
    <row r="853" ht="14.25" customHeight="1">
      <c r="G853" s="55"/>
    </row>
    <row r="854" ht="14.25" customHeight="1">
      <c r="G854" s="55"/>
    </row>
    <row r="855" ht="14.25" customHeight="1">
      <c r="G855" s="55"/>
    </row>
    <row r="856" ht="14.25" customHeight="1">
      <c r="G856" s="55"/>
    </row>
    <row r="857" ht="14.25" customHeight="1">
      <c r="G857" s="55"/>
    </row>
    <row r="858" ht="14.25" customHeight="1">
      <c r="G858" s="55"/>
    </row>
    <row r="859" ht="14.25" customHeight="1">
      <c r="G859" s="55"/>
    </row>
    <row r="860" ht="14.25" customHeight="1">
      <c r="G860" s="55"/>
    </row>
    <row r="861" ht="14.25" customHeight="1">
      <c r="G861" s="55"/>
    </row>
    <row r="862" ht="14.25" customHeight="1">
      <c r="G862" s="55"/>
    </row>
    <row r="863" ht="14.25" customHeight="1">
      <c r="G863" s="55"/>
    </row>
    <row r="864" ht="14.25" customHeight="1">
      <c r="G864" s="55"/>
    </row>
    <row r="865" ht="14.25" customHeight="1">
      <c r="G865" s="55"/>
    </row>
    <row r="866" ht="14.25" customHeight="1">
      <c r="G866" s="55"/>
    </row>
    <row r="867" ht="14.25" customHeight="1">
      <c r="G867" s="55"/>
    </row>
    <row r="868" ht="14.25" customHeight="1">
      <c r="G868" s="55"/>
    </row>
    <row r="869" ht="14.25" customHeight="1">
      <c r="G869" s="55"/>
    </row>
    <row r="870" ht="14.25" customHeight="1">
      <c r="G870" s="55"/>
    </row>
    <row r="871" ht="14.25" customHeight="1">
      <c r="G871" s="55"/>
    </row>
    <row r="872" ht="14.25" customHeight="1">
      <c r="G872" s="55"/>
    </row>
    <row r="873" ht="14.25" customHeight="1">
      <c r="G873" s="55"/>
    </row>
    <row r="874" ht="14.25" customHeight="1">
      <c r="G874" s="55"/>
    </row>
    <row r="875" ht="14.25" customHeight="1">
      <c r="G875" s="55"/>
    </row>
    <row r="876" ht="14.25" customHeight="1">
      <c r="G876" s="55"/>
    </row>
    <row r="877" ht="14.25" customHeight="1">
      <c r="G877" s="55"/>
    </row>
    <row r="878" ht="14.25" customHeight="1">
      <c r="G878" s="55"/>
    </row>
    <row r="879" ht="14.25" customHeight="1">
      <c r="G879" s="55"/>
    </row>
    <row r="880" ht="14.25" customHeight="1">
      <c r="G880" s="55"/>
    </row>
    <row r="881" ht="14.25" customHeight="1">
      <c r="G881" s="55"/>
    </row>
    <row r="882" ht="14.25" customHeight="1">
      <c r="G882" s="55"/>
    </row>
    <row r="883" ht="14.25" customHeight="1">
      <c r="G883" s="55"/>
    </row>
    <row r="884" ht="14.25" customHeight="1">
      <c r="G884" s="55"/>
    </row>
    <row r="885" ht="14.25" customHeight="1">
      <c r="G885" s="55"/>
    </row>
    <row r="886" ht="14.25" customHeight="1">
      <c r="G886" s="55"/>
    </row>
    <row r="887" ht="14.25" customHeight="1">
      <c r="G887" s="55"/>
    </row>
    <row r="888" ht="14.25" customHeight="1">
      <c r="G888" s="55"/>
    </row>
    <row r="889" ht="14.25" customHeight="1">
      <c r="G889" s="55"/>
    </row>
    <row r="890" ht="14.25" customHeight="1">
      <c r="G890" s="55"/>
    </row>
    <row r="891" ht="14.25" customHeight="1">
      <c r="G891" s="55"/>
    </row>
    <row r="892" ht="14.25" customHeight="1">
      <c r="G892" s="55"/>
    </row>
    <row r="893" ht="14.25" customHeight="1">
      <c r="G893" s="55"/>
    </row>
    <row r="894" ht="14.25" customHeight="1">
      <c r="G894" s="55"/>
    </row>
    <row r="895" ht="14.25" customHeight="1">
      <c r="G895" s="55"/>
    </row>
    <row r="896" ht="14.25" customHeight="1">
      <c r="G896" s="55"/>
    </row>
    <row r="897" ht="14.25" customHeight="1">
      <c r="G897" s="55"/>
    </row>
    <row r="898" ht="14.25" customHeight="1">
      <c r="G898" s="55"/>
    </row>
    <row r="899" ht="14.25" customHeight="1">
      <c r="G899" s="55"/>
    </row>
    <row r="900" ht="14.25" customHeight="1">
      <c r="G900" s="55"/>
    </row>
    <row r="901" ht="14.25" customHeight="1">
      <c r="G901" s="55"/>
    </row>
    <row r="902" ht="14.25" customHeight="1">
      <c r="G902" s="55"/>
    </row>
    <row r="903" ht="14.25" customHeight="1">
      <c r="G903" s="55"/>
    </row>
    <row r="904" ht="14.25" customHeight="1">
      <c r="G904" s="55"/>
    </row>
    <row r="905" ht="14.25" customHeight="1">
      <c r="G905" s="55"/>
    </row>
    <row r="906" ht="14.25" customHeight="1">
      <c r="G906" s="55"/>
    </row>
    <row r="907" ht="14.25" customHeight="1">
      <c r="G907" s="55"/>
    </row>
    <row r="908" ht="14.25" customHeight="1">
      <c r="G908" s="55"/>
    </row>
    <row r="909" ht="14.25" customHeight="1">
      <c r="G909" s="55"/>
    </row>
    <row r="910" ht="14.25" customHeight="1">
      <c r="G910" s="55"/>
    </row>
    <row r="911" ht="14.25" customHeight="1">
      <c r="G911" s="55"/>
    </row>
    <row r="912" ht="14.25" customHeight="1">
      <c r="G912" s="55"/>
    </row>
    <row r="913" ht="14.25" customHeight="1">
      <c r="G913" s="55"/>
    </row>
    <row r="914" ht="14.25" customHeight="1">
      <c r="G914" s="55"/>
    </row>
    <row r="915" ht="14.25" customHeight="1">
      <c r="G915" s="55"/>
    </row>
    <row r="916" ht="14.25" customHeight="1">
      <c r="G916" s="55"/>
    </row>
  </sheetData>
  <mergeCells count="5">
    <mergeCell ref="F8:G8"/>
    <mergeCell ref="F10:G10"/>
    <mergeCell ref="B12:B15"/>
    <mergeCell ref="B18:B21"/>
    <mergeCell ref="B23:B24"/>
  </mergeCells>
  <conditionalFormatting sqref="C1">
    <cfRule type="notContainsBlanks" dxfId="8" priority="1">
      <formula>LEN(TRIM(C1))&gt;0</formula>
    </cfRule>
  </conditionalFormatting>
  <dataValidations>
    <dataValidation type="list" allowBlank="1" sqref="C40">
      <formula1>"Gross Margin,Net Margin"</formula1>
    </dataValidation>
    <dataValidation type="list" allowBlank="1" sqref="C3">
      <formula1>"Nómina,Prestación de Servicios,Deel/Ontop"</formula1>
    </dataValidation>
    <dataValidation type="list" allowBlank="1" showErrorMessage="1" sqref="C5">
      <formula1>"Cold Calling,Mercadeo,Directo,Network - Cold Calling,Referido Imagine"</formula1>
    </dataValidation>
    <dataValidation type="list" allowBlank="1" showErrorMessage="1" sqref="D27:D36">
      <formula1>"Nómina,P. Servicios"</formula1>
    </dataValidation>
    <dataValidation type="list" allowBlank="1" sqref="B27:B36">
      <formula1>'Parámetros'!$A$2:$A$113</formula1>
    </dataValidation>
    <dataValidation type="list" allowBlank="1" sqref="C2">
      <formula1>'Parámetros'!$A$118:$A$123</formula1>
    </dataValidation>
    <dataValidation type="list" allowBlank="1" sqref="C6">
      <formula1>"Perfil Sr.,Perfil Semi senior,Perfil Jr."</formula1>
    </dataValidation>
    <dataValidation type="list" allowBlank="1" sqref="D40">
      <formula1>"COP,USD"</formula1>
    </dataValidation>
  </dataValidations>
  <printOptions/>
  <pageMargins bottom="0.75" footer="0.0" header="0.0" left="0.7" right="0.7" top="0.75"/>
  <pageSetup orientation="portrait"/>
  <drawing r:id="rId1"/>
  <tableParts count="3">
    <tablePart r:id="rId5"/>
    <tablePart r:id="rId6"/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4.14"/>
    <col customWidth="1" min="2" max="2" width="38.43"/>
    <col customWidth="1" min="3" max="3" width="23.14"/>
    <col customWidth="1" min="4" max="4" width="16.29"/>
    <col customWidth="1" min="5" max="5" width="14.86"/>
    <col customWidth="1" min="6" max="6" width="18.0"/>
    <col customWidth="1" min="7" max="7" width="16.29"/>
    <col customWidth="1" min="8" max="8" width="15.14"/>
    <col customWidth="1" min="9" max="9" width="12.0"/>
    <col customWidth="1" min="10" max="10" width="26.57"/>
    <col customWidth="1" min="11" max="11" width="14.86"/>
    <col customWidth="1" min="12" max="12" width="14.71"/>
    <col customWidth="1" min="13" max="13" width="17.29"/>
    <col customWidth="1" min="14" max="14" width="15.57"/>
    <col customWidth="1" min="15" max="15" width="10.71"/>
    <col customWidth="1" min="16" max="16" width="23.14"/>
    <col customWidth="1" min="17" max="17" width="17.57"/>
    <col customWidth="1" min="18" max="18" width="15.71"/>
    <col customWidth="1" min="19" max="19" width="18.86"/>
    <col customWidth="1" hidden="1" min="20" max="20" width="13.71"/>
    <col customWidth="1" hidden="1" min="21" max="21" width="13.43"/>
    <col customWidth="1" hidden="1" min="22" max="32" width="10.71"/>
  </cols>
  <sheetData>
    <row r="1" ht="8.25" customHeight="1">
      <c r="A1" s="200"/>
      <c r="B1" s="200"/>
      <c r="C1" s="200"/>
      <c r="D1" s="200"/>
      <c r="E1" s="200"/>
      <c r="F1" s="200"/>
      <c r="G1" s="201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</row>
    <row r="2" ht="15.75" customHeight="1">
      <c r="A2" s="200"/>
      <c r="B2" s="202" t="s">
        <v>150</v>
      </c>
      <c r="C2" s="203" t="s">
        <v>94</v>
      </c>
      <c r="D2" s="16"/>
      <c r="E2" s="200"/>
      <c r="F2" s="200"/>
      <c r="G2" s="205"/>
      <c r="H2" s="206"/>
      <c r="I2" s="206"/>
      <c r="J2" s="207"/>
      <c r="K2" s="206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0"/>
      <c r="AD2" s="200"/>
      <c r="AE2" s="200"/>
      <c r="AF2" s="200"/>
    </row>
    <row r="3" ht="15.75" customHeight="1">
      <c r="A3" s="200"/>
      <c r="B3" s="202" t="s">
        <v>25</v>
      </c>
      <c r="C3" s="208" t="s">
        <v>41</v>
      </c>
      <c r="D3" s="16"/>
      <c r="E3" s="200"/>
      <c r="F3" s="209"/>
      <c r="G3" s="210"/>
      <c r="H3" s="200"/>
      <c r="I3" s="200"/>
      <c r="J3" s="211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200"/>
    </row>
    <row r="4" ht="15.75" customHeight="1">
      <c r="A4" s="200"/>
      <c r="B4" s="202" t="s">
        <v>27</v>
      </c>
      <c r="C4" s="212">
        <f>VLOOKUP(C2,'Parámetros'!$A$118:$B$124,2,0)*IF(C3="Nómina",1.38522,IF(C3="Prestación de Servicios",1,1.15))</f>
        <v>0.138522</v>
      </c>
      <c r="D4" s="16"/>
      <c r="E4" s="200"/>
      <c r="H4" s="200"/>
      <c r="I4" s="200"/>
      <c r="J4" s="211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</row>
    <row r="5" ht="15.75" customHeight="1">
      <c r="A5" s="200"/>
      <c r="B5" s="202" t="s">
        <v>28</v>
      </c>
      <c r="C5" s="218">
        <v>0.0</v>
      </c>
      <c r="D5" s="16"/>
      <c r="F5" s="219" t="s">
        <v>155</v>
      </c>
      <c r="G5" s="220">
        <f>VLOOKUP($C$2,'Parámetros'!$A$118:$D$124,3,0)</f>
        <v>0.4</v>
      </c>
      <c r="I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</row>
    <row r="6" ht="15.75" customHeight="1">
      <c r="A6" s="200"/>
      <c r="B6" s="202" t="s">
        <v>156</v>
      </c>
      <c r="C6" s="218">
        <f>IF(C2="Enterprise",1,0)</f>
        <v>0</v>
      </c>
      <c r="D6" s="16"/>
      <c r="F6" s="221" t="str">
        <f>IF(D11&gt;=G5,"Dentro del margen","¡Por debajo del margen!")</f>
        <v>Dentro del margen</v>
      </c>
      <c r="I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0"/>
      <c r="AA6" s="200"/>
      <c r="AB6" s="200"/>
      <c r="AC6" s="200"/>
      <c r="AD6" s="200"/>
      <c r="AE6" s="200"/>
      <c r="AF6" s="200"/>
    </row>
    <row r="7" ht="15.75" customHeight="1">
      <c r="A7" s="200"/>
      <c r="B7" s="202" t="s">
        <v>157</v>
      </c>
      <c r="C7" s="222"/>
      <c r="D7" s="204"/>
      <c r="E7" s="200"/>
      <c r="H7" s="200"/>
      <c r="I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  <c r="AA7" s="200"/>
      <c r="AB7" s="200"/>
      <c r="AC7" s="200"/>
      <c r="AD7" s="200"/>
      <c r="AE7" s="200"/>
      <c r="AF7" s="200"/>
    </row>
    <row r="8" ht="15.75" customHeight="1">
      <c r="A8" s="200"/>
      <c r="B8" s="202" t="s">
        <v>158</v>
      </c>
      <c r="C8" s="208">
        <v>1.0</v>
      </c>
      <c r="D8" s="16"/>
      <c r="E8" s="200"/>
      <c r="H8" s="223"/>
      <c r="I8" s="223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</row>
    <row r="9" ht="15.75" customHeight="1">
      <c r="A9" s="200"/>
      <c r="B9" s="224"/>
      <c r="C9" s="16"/>
      <c r="D9" s="16"/>
      <c r="E9" s="200"/>
      <c r="F9" s="202" t="s">
        <v>44</v>
      </c>
      <c r="G9" s="225" t="s">
        <v>45</v>
      </c>
      <c r="H9" s="223"/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200"/>
      <c r="AC9" s="200"/>
      <c r="AD9" s="200"/>
      <c r="AE9" s="200"/>
      <c r="AF9" s="200"/>
    </row>
    <row r="10" ht="18.75" customHeight="1">
      <c r="B10" s="226" t="s">
        <v>7</v>
      </c>
      <c r="C10" s="17" t="s">
        <v>6</v>
      </c>
      <c r="D10" s="227">
        <f>F10*C4</f>
        <v>207783</v>
      </c>
      <c r="E10" s="228" t="s">
        <v>159</v>
      </c>
      <c r="F10" s="229">
        <f>((C54+C50+C52)/((1-D11-'Parámetros'!L8*C5)))*IF(C6=1,102.4%,1)</f>
        <v>1500000</v>
      </c>
      <c r="G10" s="230">
        <f>F10/'Parámetros'!$L$3</f>
        <v>422.5352113</v>
      </c>
      <c r="H10" s="211"/>
      <c r="M10" s="23"/>
      <c r="N10" s="24"/>
      <c r="O10" s="24"/>
    </row>
    <row r="11" ht="18.75" customHeight="1">
      <c r="B11" s="27"/>
      <c r="C11" s="17" t="s">
        <v>9</v>
      </c>
      <c r="D11" s="231">
        <v>0.4</v>
      </c>
      <c r="E11" s="228" t="s">
        <v>160</v>
      </c>
      <c r="F11" s="229">
        <f>F10/C8</f>
        <v>1500000</v>
      </c>
      <c r="G11" s="230">
        <f>F11/'Parámetros'!$L$3</f>
        <v>422.5352113</v>
      </c>
      <c r="H11" s="290">
        <f>G11*1.5</f>
        <v>633.8028169</v>
      </c>
      <c r="J11" s="290">
        <f>F11/2</f>
        <v>750000</v>
      </c>
      <c r="K11" s="290">
        <f t="shared" ref="K11:K12" si="1">J11*2.5</f>
        <v>1875000</v>
      </c>
      <c r="M11" s="23"/>
      <c r="N11" s="24"/>
      <c r="O11" s="24"/>
    </row>
    <row r="12" ht="18.75" customHeight="1">
      <c r="B12" s="27"/>
      <c r="C12" s="17" t="s">
        <v>15</v>
      </c>
      <c r="D12" s="227">
        <f>F10*'Parámetros'!L5</f>
        <v>10350</v>
      </c>
      <c r="E12" s="228" t="s">
        <v>161</v>
      </c>
      <c r="F12" s="229">
        <f>F10/SUM(D39:D45)</f>
        <v>4166.666667</v>
      </c>
      <c r="G12" s="230">
        <f>G10/SUM(D39:D45)</f>
        <v>1.17370892</v>
      </c>
      <c r="J12" s="290">
        <f>J11*2</f>
        <v>1500000</v>
      </c>
      <c r="K12" s="290">
        <f t="shared" si="1"/>
        <v>3750000</v>
      </c>
      <c r="L12" s="22"/>
      <c r="O12" s="28"/>
      <c r="P12" s="28"/>
      <c r="Q12" s="28"/>
    </row>
    <row r="13" ht="14.25" customHeight="1">
      <c r="B13" s="43"/>
      <c r="C13" s="17" t="s">
        <v>18</v>
      </c>
      <c r="D13" s="240">
        <f>(F10-C55-D12-D10-C5*'Parámetros'!L8*F10-IF(C6=1,2.4%,0))/F10</f>
        <v>0.254578</v>
      </c>
      <c r="F13" s="23"/>
      <c r="G13" s="55"/>
      <c r="L13" s="32"/>
      <c r="M13" s="33"/>
      <c r="O13" s="28"/>
      <c r="P13" s="28"/>
      <c r="Q13" s="28"/>
    </row>
    <row r="14" ht="14.25" customHeight="1">
      <c r="D14" s="235"/>
      <c r="F14" s="236"/>
      <c r="G14" s="55"/>
      <c r="H14" s="237"/>
      <c r="I14" s="237"/>
      <c r="J14" s="237"/>
      <c r="L14" s="32"/>
      <c r="M14" s="37"/>
      <c r="N14" s="38"/>
      <c r="O14" s="39"/>
    </row>
    <row r="15" ht="14.25" customHeight="1">
      <c r="F15" s="236"/>
      <c r="G15" s="55"/>
      <c r="L15" s="22"/>
    </row>
    <row r="16" ht="15.75" customHeight="1">
      <c r="B16" s="226" t="s">
        <v>22</v>
      </c>
      <c r="C16" s="17" t="s">
        <v>6</v>
      </c>
      <c r="D16" s="227">
        <f>F16*C4</f>
        <v>224801.2002</v>
      </c>
      <c r="E16" s="228" t="s">
        <v>159</v>
      </c>
      <c r="F16" s="229">
        <f>+(C55/(1-C4-D17-'Parámetros'!L5-C5*'Parámetros'!L8))</f>
        <v>1622855.577</v>
      </c>
      <c r="G16" s="230">
        <f>F16/'Parámetros'!L3</f>
        <v>457.142416</v>
      </c>
      <c r="L16" s="22"/>
    </row>
    <row r="17" ht="16.5" customHeight="1">
      <c r="B17" s="27"/>
      <c r="C17" s="17" t="s">
        <v>18</v>
      </c>
      <c r="D17" s="231">
        <v>0.3</v>
      </c>
      <c r="E17" s="228" t="s">
        <v>160</v>
      </c>
      <c r="F17" s="229">
        <f>F16/C8</f>
        <v>1622855.577</v>
      </c>
      <c r="G17" s="230">
        <f>G16/C8</f>
        <v>457.142416</v>
      </c>
      <c r="L17" s="32"/>
      <c r="M17" s="33"/>
    </row>
    <row r="18" ht="17.25" customHeight="1">
      <c r="B18" s="27"/>
      <c r="C18" s="17" t="s">
        <v>15</v>
      </c>
      <c r="D18" s="227">
        <f>F16*'Parámetros'!L5</f>
        <v>11197.70348</v>
      </c>
      <c r="E18" s="228" t="s">
        <v>161</v>
      </c>
      <c r="F18" s="229">
        <f>F16/SUM(D39:D45)</f>
        <v>4507.932157</v>
      </c>
      <c r="G18" s="230">
        <f>G16/SUM(D39:D45)</f>
        <v>1.269840044</v>
      </c>
      <c r="L18" s="22"/>
      <c r="M18" s="55"/>
    </row>
    <row r="19" ht="14.25" customHeight="1">
      <c r="B19" s="43"/>
      <c r="C19" s="17" t="s">
        <v>9</v>
      </c>
      <c r="D19" s="240">
        <f>((((F16-C50-C52-C54-C5*'Parámetros'!L8*F16))-(1-2.4%))/F16)</f>
        <v>0.4454213986</v>
      </c>
      <c r="E19" s="241"/>
      <c r="G19" s="55"/>
    </row>
    <row r="20" ht="14.25" customHeight="1">
      <c r="D20" s="55"/>
      <c r="E20" s="23"/>
      <c r="F20" s="242"/>
      <c r="G20" s="55"/>
    </row>
    <row r="21" ht="14.25" customHeight="1">
      <c r="B21" s="243" t="str">
        <f>'Parámetros'!B149</f>
        <v>Considerar como mínimo por cada Dev: 
 PM:33%, QA:20%, Diseño:10%</v>
      </c>
      <c r="C21" s="244"/>
      <c r="G21" s="55"/>
      <c r="M21" s="245"/>
    </row>
    <row r="22" ht="15.75" customHeight="1">
      <c r="B22" s="246"/>
      <c r="C22" s="244"/>
      <c r="G22" s="55"/>
    </row>
    <row r="23" ht="15.75" customHeight="1">
      <c r="E23" s="247">
        <f>SUM(E25:E32)</f>
        <v>2</v>
      </c>
      <c r="G23" s="248"/>
    </row>
    <row r="24" ht="14.25" customHeight="1">
      <c r="B24" s="249" t="s">
        <v>31</v>
      </c>
      <c r="C24" s="249" t="s">
        <v>32</v>
      </c>
      <c r="D24" s="249" t="s">
        <v>33</v>
      </c>
      <c r="E24" s="250" t="s">
        <v>35</v>
      </c>
      <c r="F24" s="250" t="s">
        <v>164</v>
      </c>
      <c r="G24" s="250" t="s">
        <v>165</v>
      </c>
      <c r="H24" s="250" t="s">
        <v>37</v>
      </c>
      <c r="I24" s="146"/>
      <c r="J24" s="146"/>
      <c r="L24" s="67"/>
    </row>
    <row r="25" ht="14.25" customHeight="1">
      <c r="A25" s="251">
        <f>IFERROR(__xludf.DUMMYFUNCTION("COUNTIF(SPLIT(B25,"" ""),""Developer"")"),0.0)</f>
        <v>0</v>
      </c>
      <c r="B25" s="252" t="s">
        <v>43</v>
      </c>
      <c r="C25" s="68" t="str">
        <f>IFERROR(VLOOKUP(B25,'Parámetros'!A$1:B113,2, FALSE),"")</f>
        <v/>
      </c>
      <c r="D25" s="208" t="s">
        <v>41</v>
      </c>
      <c r="E25" s="253">
        <v>1.0</v>
      </c>
      <c r="F25" s="68">
        <f t="shared" ref="F25:F32" si="2">+IFERROR(IF(D25="Nómina",C25*1.38352,C25),"")*E25*105%</f>
        <v>0</v>
      </c>
      <c r="G25" s="68">
        <f t="shared" ref="G25:G32" si="3">F25*C$8</f>
        <v>0</v>
      </c>
      <c r="H25" s="254">
        <f>F25/(AVERAGE('Parámetros'!$F$5:$F$6)+$F$33)</f>
        <v>0</v>
      </c>
      <c r="I25" s="146"/>
      <c r="J25" s="146"/>
      <c r="L25" s="73"/>
    </row>
    <row r="26" ht="14.25" customHeight="1">
      <c r="A26" s="251">
        <f>IFERROR(__xludf.DUMMYFUNCTION("COUNTIF(SPLIT(B26,"" ""),""Developer"")"),0.0)</f>
        <v>0</v>
      </c>
      <c r="B26" s="255"/>
      <c r="C26" s="68"/>
      <c r="D26" s="208" t="s">
        <v>41</v>
      </c>
      <c r="E26" s="256">
        <v>1.0</v>
      </c>
      <c r="F26" s="68">
        <f t="shared" si="2"/>
        <v>0</v>
      </c>
      <c r="G26" s="68">
        <f t="shared" si="3"/>
        <v>0</v>
      </c>
      <c r="H26" s="254">
        <f>G26/(AVERAGE('Parámetros'!$F$5:$F$6)+$F$33)</f>
        <v>0</v>
      </c>
      <c r="I26" s="146"/>
      <c r="J26" s="146"/>
      <c r="L26" s="73"/>
      <c r="R26" s="74"/>
    </row>
    <row r="27" ht="14.25" customHeight="1">
      <c r="A27" s="251">
        <f>IFERROR(__xludf.DUMMYFUNCTION("COUNTIF(SPLIT(B27,"" ""),""Developer"")"),0.0)</f>
        <v>0</v>
      </c>
      <c r="B27" s="255"/>
      <c r="C27" s="68" t="str">
        <f>IFERROR(VLOOKUP(B27,'Parámetros'!A$1:B113,2, FALSE),"")</f>
        <v/>
      </c>
      <c r="D27" s="208" t="s">
        <v>41</v>
      </c>
      <c r="E27" s="256"/>
      <c r="F27" s="68">
        <f t="shared" si="2"/>
        <v>0</v>
      </c>
      <c r="G27" s="68">
        <f t="shared" si="3"/>
        <v>0</v>
      </c>
      <c r="H27" s="254">
        <f>G27/(AVERAGE('Parámetros'!$F$5:$F$6)+$F$33)</f>
        <v>0</v>
      </c>
      <c r="I27" s="146"/>
      <c r="J27" s="146"/>
      <c r="L27" s="73"/>
    </row>
    <row r="28" ht="14.25" customHeight="1">
      <c r="A28" s="251">
        <f>IFERROR(__xludf.DUMMYFUNCTION("COUNTIF(SPLIT(B28,"" ""),""Developer"")"),0.0)</f>
        <v>0</v>
      </c>
      <c r="B28" s="255"/>
      <c r="C28" s="68" t="str">
        <f>IFERROR(VLOOKUP(B28,'Parámetros'!A$1:B114,2, FALSE),"")</f>
        <v/>
      </c>
      <c r="D28" s="208" t="s">
        <v>41</v>
      </c>
      <c r="E28" s="257"/>
      <c r="F28" s="68">
        <f t="shared" si="2"/>
        <v>0</v>
      </c>
      <c r="G28" s="68">
        <f t="shared" si="3"/>
        <v>0</v>
      </c>
      <c r="H28" s="254">
        <f>G28/(AVERAGE('Parámetros'!$F$5:$F$6)+$F$33)</f>
        <v>0</v>
      </c>
      <c r="I28" s="146"/>
      <c r="J28" s="146"/>
      <c r="L28" s="73"/>
    </row>
    <row r="29" ht="14.25" customHeight="1">
      <c r="A29" s="251">
        <f>IFERROR(__xludf.DUMMYFUNCTION("COUNTIF(SPLIT(B29,"" ""),""Developer"")"),0.0)</f>
        <v>0</v>
      </c>
      <c r="B29" s="255"/>
      <c r="C29" s="68" t="str">
        <f>IFERROR(VLOOKUP(B29,'Parámetros'!A$1:B115,2, FALSE),"")</f>
        <v/>
      </c>
      <c r="D29" s="208" t="s">
        <v>41</v>
      </c>
      <c r="E29" s="256"/>
      <c r="F29" s="68">
        <f t="shared" si="2"/>
        <v>0</v>
      </c>
      <c r="G29" s="68">
        <f t="shared" si="3"/>
        <v>0</v>
      </c>
      <c r="H29" s="254">
        <f>G29/(AVERAGE('Parámetros'!$F$5:$F$6)+$F$33)</f>
        <v>0</v>
      </c>
      <c r="I29" s="146"/>
      <c r="J29" s="146"/>
      <c r="L29" s="73"/>
    </row>
    <row r="30" ht="14.25" customHeight="1">
      <c r="A30" s="251">
        <f>IFERROR(__xludf.DUMMYFUNCTION("COUNTIF(SPLIT(B30,"" ""),""Developer"")"),0.0)</f>
        <v>0</v>
      </c>
      <c r="B30" s="304"/>
      <c r="C30" s="68" t="str">
        <f>IFERROR(VLOOKUP(B30,'Parámetros'!A$1:B116,2, FALSE),"")</f>
        <v/>
      </c>
      <c r="D30" s="208" t="s">
        <v>41</v>
      </c>
      <c r="E30" s="258"/>
      <c r="F30" s="68">
        <f t="shared" si="2"/>
        <v>0</v>
      </c>
      <c r="G30" s="68">
        <f t="shared" si="3"/>
        <v>0</v>
      </c>
      <c r="H30" s="254">
        <f>G30/(AVERAGE('Parámetros'!$F$5:$F$6)+$F$33)</f>
        <v>0</v>
      </c>
      <c r="I30" s="146"/>
      <c r="J30" s="146"/>
      <c r="K30" s="146"/>
    </row>
    <row r="31" ht="14.25" customHeight="1">
      <c r="A31" s="251">
        <f>IFERROR(__xludf.DUMMYFUNCTION("COUNTIF(SPLIT(B31,"" ""),""Developer"")"),0.0)</f>
        <v>0</v>
      </c>
      <c r="B31" s="304"/>
      <c r="C31" s="68" t="str">
        <f>IFERROR(VLOOKUP(B31,'Parámetros'!A$1:B117,2, FALSE),"")</f>
        <v/>
      </c>
      <c r="D31" s="208" t="s">
        <v>41</v>
      </c>
      <c r="E31" s="258"/>
      <c r="F31" s="68">
        <f t="shared" si="2"/>
        <v>0</v>
      </c>
      <c r="G31" s="68">
        <f t="shared" si="3"/>
        <v>0</v>
      </c>
      <c r="H31" s="254">
        <f>G31/(AVERAGE('Parámetros'!$F$5:$F$6)+$F$33)</f>
        <v>0</v>
      </c>
      <c r="I31" s="146"/>
      <c r="J31" s="146"/>
      <c r="K31" s="146"/>
    </row>
    <row r="32" ht="14.25" customHeight="1">
      <c r="A32" s="251">
        <f>IFERROR(__xludf.DUMMYFUNCTION("COUNTIF(SPLIT(B32,"" ""),""Developer"")"),0.0)</f>
        <v>0</v>
      </c>
      <c r="B32" s="304"/>
      <c r="C32" s="68" t="str">
        <f>iferror(VLOOKUP(B32,'Parámetros'!A$1:B127,2, FALSE),"")</f>
        <v/>
      </c>
      <c r="D32" s="208" t="s">
        <v>41</v>
      </c>
      <c r="E32" s="258"/>
      <c r="F32" s="68">
        <f t="shared" si="2"/>
        <v>0</v>
      </c>
      <c r="G32" s="68">
        <f t="shared" si="3"/>
        <v>0</v>
      </c>
      <c r="H32" s="254">
        <f>G32/(AVERAGE('Parámetros'!$F$5:$F$6)+$F$33)</f>
        <v>0</v>
      </c>
      <c r="I32" s="146"/>
      <c r="J32" s="146"/>
      <c r="K32" s="146"/>
    </row>
    <row r="33" ht="14.25" customHeight="1">
      <c r="F33" s="259">
        <f t="shared" ref="F33:H33" si="4">SUM(F25:F32)</f>
        <v>0</v>
      </c>
      <c r="G33" s="259">
        <f t="shared" si="4"/>
        <v>0</v>
      </c>
      <c r="H33" s="260">
        <f t="shared" si="4"/>
        <v>0</v>
      </c>
      <c r="M33" s="90"/>
      <c r="N33" s="91"/>
      <c r="O33" s="92"/>
      <c r="P33" s="93"/>
      <c r="Q33" s="94"/>
    </row>
    <row r="34" ht="14.25" customHeight="1">
      <c r="G34" s="55"/>
    </row>
    <row r="35" ht="14.25" customHeight="1">
      <c r="G35" s="55"/>
    </row>
    <row r="36" ht="14.25" customHeight="1">
      <c r="C36" s="261" t="s">
        <v>9</v>
      </c>
      <c r="D36" s="261" t="s">
        <v>45</v>
      </c>
      <c r="G36" s="55"/>
    </row>
    <row r="37" ht="14.25" customHeight="1">
      <c r="F37" s="97"/>
      <c r="G37" s="55"/>
    </row>
    <row r="38" ht="14.25" customHeight="1">
      <c r="B38" s="262" t="s">
        <v>31</v>
      </c>
      <c r="C38" s="261" t="s">
        <v>35</v>
      </c>
      <c r="D38" s="291" t="s">
        <v>48</v>
      </c>
      <c r="E38" s="292" t="s">
        <v>50</v>
      </c>
      <c r="F38" s="292" t="s">
        <v>159</v>
      </c>
      <c r="G38" s="55"/>
    </row>
    <row r="39" ht="14.25" customHeight="1">
      <c r="B39" s="264" t="str">
        <f t="shared" ref="B39:B45" si="5">B25</f>
        <v>Diseñador Junior</v>
      </c>
      <c r="C39" s="265">
        <f t="shared" ref="C39:C45" si="6">E25</f>
        <v>1</v>
      </c>
      <c r="D39" s="268">
        <f t="shared" ref="D39:D45" si="7">C39*180</f>
        <v>180</v>
      </c>
      <c r="E39" s="267">
        <f>IFERROR((IF($C$36="Gross Margin",F25/$F$33*$F$10,IF($C$36="Net Margin",F25/$F$33*$F$16,"Error")))/D39,"")/IF($D$36="USD",'Parámetros'!$L$3,1)</f>
        <v>0</v>
      </c>
      <c r="F39" s="267">
        <f t="shared" ref="F39:F45" si="8">E39*D39</f>
        <v>0</v>
      </c>
      <c r="G39" s="55"/>
    </row>
    <row r="40" ht="14.25" customHeight="1">
      <c r="B40" s="264" t="str">
        <f t="shared" si="5"/>
        <v/>
      </c>
      <c r="C40" s="265">
        <f t="shared" si="6"/>
        <v>1</v>
      </c>
      <c r="D40" s="268">
        <f t="shared" si="7"/>
        <v>180</v>
      </c>
      <c r="E40" s="267">
        <f>IFERROR((IF($C$36="Gross Margin",F26/$F$33*$F$10,IF($C$36="Net Margin",F26/$F$33*$F$16,"Error")))/D40,"")/IF($D$36="USD",'Parámetros'!$L$3,1)</f>
        <v>0</v>
      </c>
      <c r="F40" s="267">
        <f t="shared" si="8"/>
        <v>0</v>
      </c>
      <c r="G40" s="55"/>
    </row>
    <row r="41" ht="14.25" customHeight="1">
      <c r="B41" s="264" t="str">
        <f t="shared" si="5"/>
        <v/>
      </c>
      <c r="C41" s="265" t="str">
        <f t="shared" si="6"/>
        <v/>
      </c>
      <c r="D41" s="268">
        <f t="shared" si="7"/>
        <v>0</v>
      </c>
      <c r="E41" s="267">
        <f>IFERROR((IF($C$36="Gross Margin",F27/$F$33*$F$10,IF($C$36="Net Margin",F27/$F$33*$F$16,"Error")))/D41,"")/IF($D$36="USD",'Parámetros'!$L$3,1)</f>
        <v>0</v>
      </c>
      <c r="F41" s="267">
        <f t="shared" si="8"/>
        <v>0</v>
      </c>
      <c r="G41" s="23"/>
    </row>
    <row r="42" ht="14.25" customHeight="1">
      <c r="B42" s="264" t="str">
        <f t="shared" si="5"/>
        <v/>
      </c>
      <c r="C42" s="265" t="str">
        <f t="shared" si="6"/>
        <v/>
      </c>
      <c r="D42" s="268">
        <f t="shared" si="7"/>
        <v>0</v>
      </c>
      <c r="E42" s="267">
        <f>IFERROR((IF($C$36="Gross Margin",F28/$F$33*$F$10,IF($C$36="Net Margin",F28/$F$33*$F$16,"Error")))/D42,"")/IF($D$36="USD",'Parámetros'!$L$3,1)</f>
        <v>0</v>
      </c>
      <c r="F42" s="267">
        <f t="shared" si="8"/>
        <v>0</v>
      </c>
      <c r="G42" s="23"/>
    </row>
    <row r="43" ht="14.25" customHeight="1">
      <c r="B43" s="264" t="str">
        <f t="shared" si="5"/>
        <v/>
      </c>
      <c r="C43" s="265" t="str">
        <f t="shared" si="6"/>
        <v/>
      </c>
      <c r="D43" s="268">
        <f t="shared" si="7"/>
        <v>0</v>
      </c>
      <c r="E43" s="267">
        <f>IFERROR((IF($C$36="Gross Margin",F29/$F$33*$F$10,IF($C$36="Net Margin",F29/$F$33*$F$16,"Error")))/D43,"")/IF($D$36="USD",'Parámetros'!$L$3,1)</f>
        <v>0</v>
      </c>
      <c r="F43" s="267">
        <f t="shared" si="8"/>
        <v>0</v>
      </c>
      <c r="G43" s="55"/>
    </row>
    <row r="44" ht="14.25" customHeight="1">
      <c r="B44" s="264" t="str">
        <f t="shared" si="5"/>
        <v/>
      </c>
      <c r="C44" s="265" t="str">
        <f t="shared" si="6"/>
        <v/>
      </c>
      <c r="D44" s="268">
        <f t="shared" si="7"/>
        <v>0</v>
      </c>
      <c r="E44" s="267">
        <f>IFERROR((IF($C$36="Gross Margin",F30/$F$33*$F$10,IF($C$36="Net Margin",F30/$F$33*$F$16,"Error")))/D44,"")/IF($D$36="USD",'Parámetros'!$L$3,1)</f>
        <v>0</v>
      </c>
      <c r="F44" s="267">
        <f t="shared" si="8"/>
        <v>0</v>
      </c>
      <c r="G44" s="55"/>
    </row>
    <row r="45" ht="14.25" customHeight="1">
      <c r="B45" s="264" t="str">
        <f t="shared" si="5"/>
        <v/>
      </c>
      <c r="C45" s="265" t="str">
        <f t="shared" si="6"/>
        <v/>
      </c>
      <c r="D45" s="268">
        <f t="shared" si="7"/>
        <v>0</v>
      </c>
      <c r="E45" s="267">
        <f>IFERROR((IF($C$36="Gross Margin",F31/$F$33*$F$10,IF($C$36="Net Margin",F31/$F$33*$F$16,"Error")))/D45,"")/IF($D$36="USD",'Parámetros'!$L$3,1)</f>
        <v>0</v>
      </c>
      <c r="F45" s="267">
        <f t="shared" si="8"/>
        <v>0</v>
      </c>
      <c r="G45" s="55"/>
    </row>
    <row r="46" ht="14.25" customHeight="1">
      <c r="G46" s="55"/>
    </row>
    <row r="47" ht="14.25" customHeight="1">
      <c r="G47" s="55"/>
    </row>
    <row r="48" ht="14.25" customHeight="1">
      <c r="D48" s="271"/>
      <c r="E48" s="271"/>
      <c r="G48" s="55"/>
    </row>
    <row r="49" ht="14.25" customHeight="1">
      <c r="B49" s="272" t="s">
        <v>11</v>
      </c>
      <c r="C49" s="272" t="s">
        <v>52</v>
      </c>
      <c r="D49" s="273" t="s">
        <v>116</v>
      </c>
      <c r="E49" s="274"/>
      <c r="G49" s="55"/>
    </row>
    <row r="50" ht="14.25" customHeight="1" outlineLevel="1">
      <c r="A50" s="33"/>
      <c r="B50" s="275" t="s">
        <v>14</v>
      </c>
      <c r="C50" s="276">
        <f>G33</f>
        <v>0</v>
      </c>
      <c r="D50" s="276">
        <f t="shared" ref="D50:D55" si="9">C50/C$8</f>
        <v>0</v>
      </c>
      <c r="E50" s="277"/>
      <c r="F50" s="33"/>
      <c r="G50" s="37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</row>
    <row r="51" ht="14.25" customHeight="1" outlineLevel="1">
      <c r="A51" s="33"/>
      <c r="B51" s="278" t="s">
        <v>17</v>
      </c>
      <c r="C51" s="279">
        <f>C53+C54+C52</f>
        <v>900000</v>
      </c>
      <c r="D51" s="279">
        <f t="shared" si="9"/>
        <v>900000</v>
      </c>
      <c r="E51" s="277"/>
      <c r="F51" s="33"/>
      <c r="G51" s="37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</row>
    <row r="52" ht="14.25" customHeight="1" outlineLevel="1">
      <c r="B52" s="280" t="s">
        <v>19</v>
      </c>
      <c r="C52" s="70">
        <f>E23*5000000*9%*C8</f>
        <v>900000</v>
      </c>
      <c r="D52" s="70">
        <f t="shared" si="9"/>
        <v>900000</v>
      </c>
      <c r="E52" s="271"/>
      <c r="G52" s="55"/>
    </row>
    <row r="53" ht="14.25" customHeight="1" outlineLevel="1">
      <c r="B53" s="280" t="s">
        <v>20</v>
      </c>
      <c r="C53" s="281">
        <f>H33*AVERAGE('Parámetros'!G6:G7)*IF(C2="Network",15%,100%)*IF(C2="Enterprise",40%,100%)</f>
        <v>0</v>
      </c>
      <c r="D53" s="281">
        <f t="shared" si="9"/>
        <v>0</v>
      </c>
      <c r="E53" s="282"/>
      <c r="G53" s="55"/>
    </row>
    <row r="54" ht="14.25" customHeight="1" outlineLevel="1">
      <c r="B54" s="280" t="s">
        <v>21</v>
      </c>
      <c r="C54" s="70">
        <f>H33*AVERAGE('Parámetros'!H7)*IF(C2="Network",15%,100%)</f>
        <v>0</v>
      </c>
      <c r="D54" s="70">
        <f t="shared" si="9"/>
        <v>0</v>
      </c>
      <c r="E54" s="282"/>
      <c r="G54" s="55"/>
    </row>
    <row r="55" ht="14.25" customHeight="1">
      <c r="B55" s="283" t="s">
        <v>23</v>
      </c>
      <c r="C55" s="284">
        <f>C50+C51</f>
        <v>900000</v>
      </c>
      <c r="D55" s="284">
        <f t="shared" si="9"/>
        <v>900000</v>
      </c>
      <c r="E55" s="277"/>
      <c r="G55" s="55"/>
    </row>
    <row r="56" ht="14.25" customHeight="1">
      <c r="B56" s="285" t="s">
        <v>168</v>
      </c>
      <c r="C56" s="286">
        <f t="shared" ref="C56:D56" si="10">C50+C52+C54</f>
        <v>900000</v>
      </c>
      <c r="D56" s="286">
        <f t="shared" si="10"/>
        <v>900000</v>
      </c>
      <c r="E56" s="287"/>
      <c r="G56" s="55"/>
    </row>
    <row r="57">
      <c r="D57" s="271"/>
      <c r="E57" s="271"/>
      <c r="G57" s="55"/>
    </row>
    <row r="58" ht="14.25" customHeight="1">
      <c r="G58" s="55"/>
    </row>
    <row r="59" ht="14.25" customHeight="1">
      <c r="G59" s="55"/>
    </row>
    <row r="60" ht="14.25" customHeight="1">
      <c r="G60" s="55"/>
    </row>
    <row r="61" ht="14.25" customHeight="1">
      <c r="G61" s="55"/>
    </row>
    <row r="62" ht="14.25" customHeight="1">
      <c r="G62" s="55"/>
    </row>
    <row r="63" ht="14.25" customHeight="1">
      <c r="G63" s="55"/>
    </row>
    <row r="64" ht="14.25" customHeight="1">
      <c r="G64" s="55"/>
    </row>
    <row r="65" ht="14.25" customHeight="1">
      <c r="G65" s="55"/>
    </row>
    <row r="66" ht="14.25" customHeight="1">
      <c r="G66" s="55"/>
    </row>
    <row r="67" ht="14.25" customHeight="1">
      <c r="G67" s="55"/>
    </row>
    <row r="68" ht="14.25" customHeight="1">
      <c r="G68" s="55"/>
    </row>
    <row r="69" ht="14.25" customHeight="1">
      <c r="G69" s="55"/>
    </row>
    <row r="70" ht="14.25" customHeight="1">
      <c r="G70" s="55"/>
    </row>
    <row r="71" ht="14.25" customHeight="1">
      <c r="G71" s="55"/>
    </row>
    <row r="72" ht="14.25" customHeight="1">
      <c r="G72" s="55"/>
    </row>
    <row r="73" ht="14.25" customHeight="1">
      <c r="G73" s="55"/>
    </row>
    <row r="74" ht="14.25" customHeight="1">
      <c r="G74" s="55"/>
    </row>
    <row r="75" ht="14.25" customHeight="1">
      <c r="G75" s="55"/>
    </row>
    <row r="76" ht="14.25" customHeight="1">
      <c r="G76" s="55"/>
    </row>
    <row r="77" ht="14.25" customHeight="1">
      <c r="G77" s="55"/>
    </row>
    <row r="78" ht="14.25" customHeight="1">
      <c r="G78" s="55"/>
    </row>
    <row r="79" ht="14.25" customHeight="1">
      <c r="G79" s="55"/>
    </row>
    <row r="80" ht="14.25" customHeight="1">
      <c r="G80" s="55"/>
    </row>
    <row r="81" ht="14.25" customHeight="1">
      <c r="G81" s="55"/>
    </row>
    <row r="82" ht="14.25" customHeight="1">
      <c r="G82" s="55"/>
    </row>
    <row r="83" ht="14.25" customHeight="1">
      <c r="G83" s="55"/>
    </row>
    <row r="84" ht="14.25" customHeight="1">
      <c r="G84" s="55"/>
    </row>
    <row r="85" ht="14.25" customHeight="1">
      <c r="G85" s="55"/>
    </row>
    <row r="86" ht="14.25" customHeight="1">
      <c r="G86" s="55"/>
    </row>
    <row r="87" ht="14.25" customHeight="1">
      <c r="G87" s="55"/>
    </row>
    <row r="88" ht="14.25" customHeight="1">
      <c r="G88" s="55"/>
    </row>
    <row r="89" ht="14.25" customHeight="1">
      <c r="G89" s="55"/>
    </row>
    <row r="90" ht="14.25" customHeight="1">
      <c r="G90" s="55"/>
    </row>
    <row r="91" ht="14.25" customHeight="1">
      <c r="G91" s="55"/>
    </row>
    <row r="92" ht="14.25" customHeight="1">
      <c r="G92" s="55"/>
    </row>
    <row r="93" ht="14.25" customHeight="1">
      <c r="G93" s="55"/>
    </row>
    <row r="94" ht="14.25" customHeight="1">
      <c r="G94" s="55"/>
    </row>
    <row r="95" ht="14.25" customHeight="1">
      <c r="G95" s="55"/>
    </row>
    <row r="96" ht="14.25" customHeight="1">
      <c r="G96" s="55"/>
    </row>
    <row r="97" ht="14.25" customHeight="1">
      <c r="G97" s="55"/>
    </row>
    <row r="98" ht="14.25" customHeight="1">
      <c r="G98" s="55"/>
    </row>
    <row r="99" ht="14.25" customHeight="1">
      <c r="G99" s="55"/>
    </row>
    <row r="100" ht="14.25" customHeight="1">
      <c r="G100" s="55"/>
    </row>
    <row r="101" ht="14.25" customHeight="1">
      <c r="G101" s="55"/>
    </row>
    <row r="102" ht="14.25" customHeight="1">
      <c r="G102" s="55"/>
    </row>
    <row r="103" ht="14.25" customHeight="1">
      <c r="G103" s="55"/>
    </row>
    <row r="104" ht="14.25" customHeight="1">
      <c r="G104" s="55"/>
    </row>
    <row r="105" ht="14.25" customHeight="1">
      <c r="G105" s="55"/>
    </row>
    <row r="106" ht="14.25" customHeight="1">
      <c r="G106" s="55"/>
    </row>
    <row r="107" ht="14.25" customHeight="1">
      <c r="G107" s="55"/>
    </row>
    <row r="108" ht="14.25" customHeight="1">
      <c r="G108" s="55"/>
    </row>
    <row r="109" ht="14.25" customHeight="1">
      <c r="G109" s="55"/>
    </row>
    <row r="110" ht="14.25" customHeight="1">
      <c r="G110" s="55"/>
    </row>
    <row r="111" ht="14.25" customHeight="1">
      <c r="G111" s="55"/>
    </row>
    <row r="112" ht="14.25" customHeight="1">
      <c r="G112" s="55"/>
    </row>
    <row r="113" ht="14.25" customHeight="1">
      <c r="G113" s="55"/>
    </row>
    <row r="114" ht="14.25" customHeight="1">
      <c r="G114" s="55"/>
    </row>
    <row r="115" ht="14.25" customHeight="1">
      <c r="G115" s="55"/>
    </row>
    <row r="116" ht="14.25" customHeight="1">
      <c r="G116" s="55"/>
    </row>
    <row r="117" ht="14.25" customHeight="1">
      <c r="G117" s="55"/>
    </row>
    <row r="118" ht="14.25" customHeight="1">
      <c r="G118" s="55"/>
    </row>
    <row r="119" ht="14.25" customHeight="1">
      <c r="G119" s="55"/>
    </row>
    <row r="120" ht="14.25" customHeight="1">
      <c r="G120" s="55"/>
    </row>
    <row r="121" ht="14.25" customHeight="1">
      <c r="G121" s="55"/>
    </row>
    <row r="122" ht="14.25" customHeight="1">
      <c r="G122" s="55"/>
    </row>
    <row r="123" ht="14.25" customHeight="1">
      <c r="G123" s="55"/>
    </row>
    <row r="124" ht="14.25" customHeight="1">
      <c r="G124" s="55"/>
    </row>
    <row r="125" ht="14.25" customHeight="1">
      <c r="G125" s="55"/>
    </row>
    <row r="126" ht="14.25" customHeight="1">
      <c r="G126" s="55"/>
    </row>
    <row r="127" ht="14.25" customHeight="1">
      <c r="G127" s="55"/>
    </row>
    <row r="128" ht="14.25" customHeight="1">
      <c r="G128" s="55"/>
    </row>
    <row r="129" ht="14.25" customHeight="1">
      <c r="G129" s="55"/>
    </row>
    <row r="130" ht="14.25" customHeight="1">
      <c r="G130" s="55"/>
    </row>
    <row r="131" ht="14.25" customHeight="1">
      <c r="G131" s="55"/>
    </row>
    <row r="132" ht="14.25" customHeight="1">
      <c r="G132" s="55"/>
    </row>
    <row r="133" ht="14.25" customHeight="1">
      <c r="G133" s="55"/>
    </row>
    <row r="134" ht="14.25" customHeight="1">
      <c r="G134" s="55"/>
    </row>
    <row r="135" ht="14.25" customHeight="1">
      <c r="G135" s="55"/>
    </row>
    <row r="136" ht="14.25" customHeight="1">
      <c r="G136" s="55"/>
    </row>
    <row r="137" ht="14.25" customHeight="1">
      <c r="G137" s="55"/>
    </row>
    <row r="138" ht="14.25" customHeight="1">
      <c r="G138" s="55"/>
    </row>
    <row r="139" ht="14.25" customHeight="1">
      <c r="G139" s="55"/>
    </row>
    <row r="140" ht="14.25" customHeight="1">
      <c r="G140" s="55"/>
    </row>
    <row r="141" ht="14.25" customHeight="1">
      <c r="G141" s="55"/>
    </row>
    <row r="142" ht="14.25" customHeight="1">
      <c r="G142" s="55"/>
    </row>
    <row r="143" ht="14.25" customHeight="1">
      <c r="G143" s="55"/>
    </row>
    <row r="144" ht="14.25" customHeight="1">
      <c r="G144" s="55"/>
    </row>
    <row r="145" ht="14.25" customHeight="1">
      <c r="G145" s="55"/>
    </row>
    <row r="146" ht="14.25" customHeight="1">
      <c r="G146" s="55"/>
    </row>
    <row r="147" ht="14.25" customHeight="1">
      <c r="G147" s="55"/>
    </row>
    <row r="148" ht="14.25" customHeight="1">
      <c r="G148" s="55"/>
    </row>
    <row r="149" ht="14.25" customHeight="1">
      <c r="G149" s="55"/>
    </row>
    <row r="150" ht="14.25" customHeight="1">
      <c r="G150" s="55"/>
    </row>
    <row r="151" ht="14.25" customHeight="1">
      <c r="G151" s="55"/>
    </row>
    <row r="152" ht="14.25" customHeight="1">
      <c r="G152" s="55"/>
    </row>
    <row r="153" ht="14.25" customHeight="1">
      <c r="G153" s="55"/>
    </row>
    <row r="154" ht="14.25" customHeight="1">
      <c r="G154" s="55"/>
    </row>
    <row r="155" ht="14.25" customHeight="1">
      <c r="G155" s="55"/>
    </row>
    <row r="156" ht="14.25" customHeight="1">
      <c r="G156" s="55"/>
    </row>
    <row r="157" ht="14.25" customHeight="1">
      <c r="G157" s="55"/>
    </row>
    <row r="158" ht="14.25" customHeight="1">
      <c r="G158" s="55"/>
    </row>
    <row r="159" ht="14.25" customHeight="1">
      <c r="G159" s="55"/>
    </row>
    <row r="160" ht="14.25" customHeight="1">
      <c r="G160" s="55"/>
    </row>
    <row r="161" ht="14.25" customHeight="1">
      <c r="G161" s="55"/>
    </row>
    <row r="162" ht="14.25" customHeight="1">
      <c r="G162" s="55"/>
    </row>
    <row r="163" ht="14.25" customHeight="1">
      <c r="G163" s="55"/>
    </row>
    <row r="164" ht="14.25" customHeight="1">
      <c r="G164" s="55"/>
    </row>
    <row r="165" ht="14.25" customHeight="1">
      <c r="G165" s="55"/>
    </row>
    <row r="166" ht="14.25" customHeight="1">
      <c r="G166" s="55"/>
    </row>
    <row r="167" ht="14.25" customHeight="1">
      <c r="G167" s="55"/>
    </row>
    <row r="168" ht="14.25" customHeight="1">
      <c r="G168" s="55"/>
    </row>
    <row r="169" ht="14.25" customHeight="1">
      <c r="G169" s="55"/>
    </row>
    <row r="170" ht="14.25" customHeight="1">
      <c r="G170" s="55"/>
    </row>
    <row r="171" ht="14.25" customHeight="1">
      <c r="G171" s="55"/>
    </row>
    <row r="172" ht="14.25" customHeight="1">
      <c r="G172" s="55"/>
    </row>
    <row r="173" ht="14.25" customHeight="1">
      <c r="G173" s="55"/>
    </row>
    <row r="174" ht="14.25" customHeight="1">
      <c r="G174" s="55"/>
    </row>
    <row r="175" ht="14.25" customHeight="1">
      <c r="G175" s="55"/>
    </row>
    <row r="176" ht="14.25" customHeight="1">
      <c r="G176" s="55"/>
    </row>
    <row r="177" ht="14.25" customHeight="1">
      <c r="G177" s="55"/>
    </row>
    <row r="178" ht="14.25" customHeight="1">
      <c r="G178" s="55"/>
    </row>
    <row r="179" ht="14.25" customHeight="1">
      <c r="G179" s="55"/>
    </row>
    <row r="180" ht="14.25" customHeight="1">
      <c r="G180" s="55"/>
    </row>
    <row r="181" ht="14.25" customHeight="1">
      <c r="G181" s="55"/>
    </row>
    <row r="182" ht="14.25" customHeight="1">
      <c r="G182" s="55"/>
    </row>
    <row r="183" ht="14.25" customHeight="1">
      <c r="G183" s="55"/>
    </row>
    <row r="184" ht="14.25" customHeight="1">
      <c r="G184" s="55"/>
    </row>
    <row r="185" ht="14.25" customHeight="1">
      <c r="G185" s="55"/>
    </row>
    <row r="186" ht="14.25" customHeight="1">
      <c r="G186" s="55"/>
    </row>
    <row r="187" ht="14.25" customHeight="1">
      <c r="G187" s="55"/>
    </row>
    <row r="188" ht="14.25" customHeight="1">
      <c r="G188" s="55"/>
    </row>
    <row r="189" ht="14.25" customHeight="1">
      <c r="G189" s="55"/>
    </row>
    <row r="190" ht="14.25" customHeight="1">
      <c r="G190" s="55"/>
    </row>
    <row r="191" ht="14.25" customHeight="1">
      <c r="G191" s="55"/>
    </row>
    <row r="192" ht="14.25" customHeight="1">
      <c r="G192" s="55"/>
    </row>
    <row r="193" ht="14.25" customHeight="1">
      <c r="G193" s="55"/>
    </row>
    <row r="194" ht="14.25" customHeight="1">
      <c r="G194" s="55"/>
    </row>
    <row r="195" ht="14.25" customHeight="1">
      <c r="G195" s="55"/>
    </row>
    <row r="196" ht="14.25" customHeight="1">
      <c r="G196" s="55"/>
    </row>
    <row r="197" ht="14.25" customHeight="1">
      <c r="G197" s="55"/>
    </row>
    <row r="198" ht="14.25" customHeight="1">
      <c r="G198" s="55"/>
    </row>
    <row r="199" ht="14.25" customHeight="1">
      <c r="G199" s="55"/>
    </row>
    <row r="200" ht="14.25" customHeight="1">
      <c r="G200" s="55"/>
    </row>
    <row r="201" ht="14.25" customHeight="1">
      <c r="G201" s="55"/>
    </row>
    <row r="202" ht="14.25" customHeight="1">
      <c r="G202" s="55"/>
    </row>
    <row r="203" ht="14.25" customHeight="1">
      <c r="G203" s="55"/>
    </row>
    <row r="204" ht="14.25" customHeight="1">
      <c r="G204" s="55"/>
    </row>
    <row r="205" ht="14.25" customHeight="1">
      <c r="G205" s="55"/>
    </row>
    <row r="206" ht="14.25" customHeight="1">
      <c r="G206" s="55"/>
    </row>
    <row r="207" ht="14.25" customHeight="1">
      <c r="G207" s="55"/>
    </row>
    <row r="208" ht="14.25" customHeight="1">
      <c r="G208" s="55"/>
    </row>
    <row r="209" ht="14.25" customHeight="1">
      <c r="G209" s="55"/>
    </row>
    <row r="210" ht="14.25" customHeight="1">
      <c r="G210" s="55"/>
    </row>
    <row r="211" ht="14.25" customHeight="1">
      <c r="G211" s="55"/>
    </row>
    <row r="212" ht="14.25" customHeight="1">
      <c r="G212" s="55"/>
    </row>
    <row r="213" ht="14.25" customHeight="1">
      <c r="G213" s="55"/>
    </row>
    <row r="214" ht="14.25" customHeight="1">
      <c r="G214" s="55"/>
    </row>
    <row r="215" ht="14.25" customHeight="1">
      <c r="G215" s="55"/>
    </row>
    <row r="216" ht="14.25" customHeight="1">
      <c r="G216" s="55"/>
    </row>
    <row r="217" ht="14.25" customHeight="1">
      <c r="G217" s="55"/>
    </row>
    <row r="218" ht="14.25" customHeight="1">
      <c r="G218" s="55"/>
    </row>
    <row r="219" ht="14.25" customHeight="1">
      <c r="G219" s="55"/>
    </row>
    <row r="220" ht="14.25" customHeight="1">
      <c r="G220" s="55"/>
    </row>
    <row r="221" ht="14.25" customHeight="1">
      <c r="G221" s="55"/>
    </row>
    <row r="222" ht="14.25" customHeight="1">
      <c r="G222" s="55"/>
    </row>
    <row r="223" ht="14.25" customHeight="1">
      <c r="G223" s="55"/>
    </row>
    <row r="224" ht="14.25" customHeight="1">
      <c r="G224" s="55"/>
    </row>
    <row r="225" ht="14.25" customHeight="1">
      <c r="G225" s="55"/>
    </row>
    <row r="226" ht="14.25" customHeight="1">
      <c r="G226" s="55"/>
    </row>
    <row r="227" ht="14.25" customHeight="1">
      <c r="G227" s="55"/>
    </row>
    <row r="228" ht="14.25" customHeight="1">
      <c r="G228" s="55"/>
    </row>
    <row r="229" ht="14.25" customHeight="1">
      <c r="G229" s="55"/>
    </row>
    <row r="230" ht="14.25" customHeight="1">
      <c r="G230" s="55"/>
    </row>
    <row r="231" ht="14.25" customHeight="1">
      <c r="G231" s="55"/>
    </row>
    <row r="232" ht="14.25" customHeight="1">
      <c r="G232" s="55"/>
    </row>
    <row r="233" ht="14.25" customHeight="1">
      <c r="G233" s="55"/>
    </row>
    <row r="234" ht="14.25" customHeight="1">
      <c r="G234" s="55"/>
    </row>
    <row r="235" ht="14.25" customHeight="1">
      <c r="G235" s="55"/>
    </row>
    <row r="236" ht="14.25" customHeight="1">
      <c r="G236" s="55"/>
    </row>
    <row r="237" ht="14.25" customHeight="1">
      <c r="G237" s="55"/>
    </row>
    <row r="238" ht="14.25" customHeight="1">
      <c r="G238" s="55"/>
    </row>
    <row r="239" ht="14.25" customHeight="1">
      <c r="G239" s="55"/>
    </row>
    <row r="240" ht="14.25" customHeight="1">
      <c r="G240" s="55"/>
    </row>
    <row r="241" ht="14.25" customHeight="1">
      <c r="G241" s="55"/>
    </row>
    <row r="242" ht="14.25" customHeight="1">
      <c r="G242" s="55"/>
    </row>
    <row r="243" ht="14.25" customHeight="1">
      <c r="G243" s="55"/>
    </row>
    <row r="244" ht="14.25" customHeight="1">
      <c r="G244" s="55"/>
    </row>
    <row r="245" ht="14.25" customHeight="1">
      <c r="G245" s="55"/>
    </row>
    <row r="246" ht="14.25" customHeight="1">
      <c r="G246" s="55"/>
    </row>
    <row r="247" ht="14.25" customHeight="1">
      <c r="G247" s="55"/>
    </row>
    <row r="248" ht="14.25" customHeight="1">
      <c r="G248" s="55"/>
    </row>
    <row r="249" ht="14.25" customHeight="1">
      <c r="G249" s="55"/>
    </row>
    <row r="250" ht="14.25" customHeight="1">
      <c r="G250" s="55"/>
    </row>
    <row r="251" ht="14.25" customHeight="1">
      <c r="G251" s="55"/>
    </row>
    <row r="252" ht="14.25" customHeight="1">
      <c r="G252" s="55"/>
    </row>
    <row r="253" ht="14.25" customHeight="1">
      <c r="G253" s="55"/>
    </row>
    <row r="254" ht="14.25" customHeight="1">
      <c r="G254" s="55"/>
    </row>
    <row r="255" ht="14.25" customHeight="1">
      <c r="G255" s="55"/>
    </row>
    <row r="256" ht="14.25" customHeight="1">
      <c r="G256" s="55"/>
    </row>
    <row r="257" ht="14.25" customHeight="1">
      <c r="G257" s="55"/>
    </row>
    <row r="258" ht="14.25" customHeight="1">
      <c r="G258" s="55"/>
    </row>
    <row r="259" ht="14.25" customHeight="1">
      <c r="G259" s="55"/>
    </row>
    <row r="260" ht="14.25" customHeight="1">
      <c r="G260" s="55"/>
    </row>
    <row r="261" ht="14.25" customHeight="1">
      <c r="G261" s="55"/>
    </row>
    <row r="262" ht="14.25" customHeight="1">
      <c r="G262" s="55"/>
    </row>
    <row r="263" ht="14.25" customHeight="1">
      <c r="G263" s="55"/>
    </row>
    <row r="264" ht="14.25" customHeight="1">
      <c r="G264" s="55"/>
    </row>
    <row r="265" ht="14.25" customHeight="1">
      <c r="G265" s="55"/>
    </row>
    <row r="266" ht="14.25" customHeight="1">
      <c r="G266" s="55"/>
    </row>
    <row r="267" ht="14.25" customHeight="1">
      <c r="G267" s="55"/>
    </row>
    <row r="268" ht="14.25" customHeight="1">
      <c r="G268" s="55"/>
    </row>
    <row r="269" ht="14.25" customHeight="1">
      <c r="G269" s="55"/>
    </row>
    <row r="270" ht="14.25" customHeight="1">
      <c r="G270" s="55"/>
    </row>
    <row r="271" ht="14.25" customHeight="1">
      <c r="G271" s="55"/>
    </row>
    <row r="272" ht="14.25" customHeight="1">
      <c r="G272" s="55"/>
    </row>
    <row r="273" ht="14.25" customHeight="1">
      <c r="G273" s="55"/>
    </row>
    <row r="274" ht="14.25" customHeight="1">
      <c r="G274" s="55"/>
    </row>
    <row r="275" ht="14.25" customHeight="1">
      <c r="G275" s="55"/>
    </row>
    <row r="276" ht="14.25" customHeight="1">
      <c r="G276" s="55"/>
    </row>
    <row r="277" ht="14.25" customHeight="1">
      <c r="G277" s="55"/>
    </row>
    <row r="278" ht="14.25" customHeight="1">
      <c r="G278" s="55"/>
    </row>
    <row r="279" ht="14.25" customHeight="1">
      <c r="G279" s="55"/>
    </row>
    <row r="280" ht="14.25" customHeight="1">
      <c r="G280" s="55"/>
    </row>
    <row r="281" ht="14.25" customHeight="1">
      <c r="G281" s="55"/>
    </row>
    <row r="282" ht="14.25" customHeight="1">
      <c r="G282" s="55"/>
    </row>
    <row r="283" ht="14.25" customHeight="1">
      <c r="G283" s="55"/>
    </row>
    <row r="284" ht="14.25" customHeight="1">
      <c r="G284" s="55"/>
    </row>
    <row r="285" ht="14.25" customHeight="1">
      <c r="G285" s="55"/>
    </row>
    <row r="286" ht="14.25" customHeight="1">
      <c r="G286" s="55"/>
    </row>
    <row r="287" ht="14.25" customHeight="1">
      <c r="G287" s="55"/>
    </row>
    <row r="288" ht="14.25" customHeight="1">
      <c r="G288" s="55"/>
    </row>
    <row r="289" ht="14.25" customHeight="1">
      <c r="G289" s="55"/>
    </row>
    <row r="290" ht="14.25" customHeight="1">
      <c r="G290" s="55"/>
    </row>
    <row r="291" ht="14.25" customHeight="1">
      <c r="G291" s="55"/>
    </row>
    <row r="292" ht="14.25" customHeight="1">
      <c r="G292" s="55"/>
    </row>
    <row r="293" ht="14.25" customHeight="1">
      <c r="G293" s="55"/>
    </row>
    <row r="294" ht="14.25" customHeight="1">
      <c r="G294" s="55"/>
    </row>
    <row r="295" ht="14.25" customHeight="1">
      <c r="G295" s="55"/>
    </row>
    <row r="296" ht="14.25" customHeight="1">
      <c r="G296" s="55"/>
    </row>
    <row r="297" ht="14.25" customHeight="1">
      <c r="G297" s="55"/>
    </row>
    <row r="298" ht="14.25" customHeight="1">
      <c r="G298" s="55"/>
    </row>
    <row r="299" ht="14.25" customHeight="1">
      <c r="G299" s="55"/>
    </row>
    <row r="300" ht="14.25" customHeight="1">
      <c r="G300" s="55"/>
    </row>
    <row r="301" ht="14.25" customHeight="1">
      <c r="G301" s="55"/>
    </row>
    <row r="302" ht="14.25" customHeight="1">
      <c r="G302" s="55"/>
    </row>
    <row r="303" ht="14.25" customHeight="1">
      <c r="G303" s="55"/>
    </row>
    <row r="304" ht="14.25" customHeight="1">
      <c r="G304" s="55"/>
    </row>
    <row r="305" ht="14.25" customHeight="1">
      <c r="G305" s="55"/>
    </row>
    <row r="306" ht="14.25" customHeight="1">
      <c r="G306" s="55"/>
    </row>
    <row r="307" ht="14.25" customHeight="1">
      <c r="G307" s="55"/>
    </row>
    <row r="308" ht="14.25" customHeight="1">
      <c r="G308" s="55"/>
    </row>
    <row r="309" ht="14.25" customHeight="1">
      <c r="G309" s="55"/>
    </row>
    <row r="310" ht="14.25" customHeight="1">
      <c r="G310" s="55"/>
    </row>
    <row r="311" ht="14.25" customHeight="1">
      <c r="G311" s="55"/>
    </row>
    <row r="312" ht="14.25" customHeight="1">
      <c r="G312" s="55"/>
    </row>
    <row r="313" ht="14.25" customHeight="1">
      <c r="G313" s="55"/>
    </row>
    <row r="314" ht="14.25" customHeight="1">
      <c r="G314" s="55"/>
    </row>
    <row r="315" ht="14.25" customHeight="1">
      <c r="G315" s="55"/>
    </row>
    <row r="316" ht="14.25" customHeight="1">
      <c r="G316" s="55"/>
    </row>
    <row r="317" ht="14.25" customHeight="1">
      <c r="G317" s="55"/>
    </row>
    <row r="318" ht="14.25" customHeight="1">
      <c r="G318" s="55"/>
    </row>
    <row r="319" ht="14.25" customHeight="1">
      <c r="G319" s="55"/>
    </row>
    <row r="320" ht="14.25" customHeight="1">
      <c r="G320" s="55"/>
    </row>
    <row r="321" ht="14.25" customHeight="1">
      <c r="G321" s="55"/>
    </row>
    <row r="322" ht="14.25" customHeight="1">
      <c r="G322" s="55"/>
    </row>
    <row r="323" ht="14.25" customHeight="1">
      <c r="G323" s="55"/>
    </row>
    <row r="324" ht="14.25" customHeight="1">
      <c r="G324" s="55"/>
    </row>
    <row r="325" ht="14.25" customHeight="1">
      <c r="G325" s="55"/>
    </row>
    <row r="326" ht="14.25" customHeight="1">
      <c r="G326" s="55"/>
    </row>
    <row r="327" ht="14.25" customHeight="1">
      <c r="G327" s="55"/>
    </row>
    <row r="328" ht="14.25" customHeight="1">
      <c r="G328" s="55"/>
    </row>
    <row r="329" ht="14.25" customHeight="1">
      <c r="G329" s="55"/>
    </row>
    <row r="330" ht="14.25" customHeight="1">
      <c r="G330" s="55"/>
    </row>
    <row r="331" ht="14.25" customHeight="1">
      <c r="G331" s="55"/>
    </row>
    <row r="332" ht="14.25" customHeight="1">
      <c r="G332" s="55"/>
    </row>
    <row r="333" ht="14.25" customHeight="1">
      <c r="G333" s="55"/>
    </row>
    <row r="334" ht="14.25" customHeight="1">
      <c r="G334" s="55"/>
    </row>
    <row r="335" ht="14.25" customHeight="1">
      <c r="G335" s="55"/>
    </row>
    <row r="336" ht="14.25" customHeight="1">
      <c r="G336" s="55"/>
    </row>
    <row r="337" ht="14.25" customHeight="1">
      <c r="G337" s="55"/>
    </row>
    <row r="338" ht="14.25" customHeight="1">
      <c r="G338" s="55"/>
    </row>
    <row r="339" ht="14.25" customHeight="1">
      <c r="G339" s="55"/>
    </row>
    <row r="340" ht="14.25" customHeight="1">
      <c r="G340" s="55"/>
    </row>
    <row r="341" ht="14.25" customHeight="1">
      <c r="G341" s="55"/>
    </row>
    <row r="342" ht="14.25" customHeight="1">
      <c r="G342" s="55"/>
    </row>
    <row r="343" ht="14.25" customHeight="1">
      <c r="G343" s="55"/>
    </row>
    <row r="344" ht="14.25" customHeight="1">
      <c r="G344" s="55"/>
    </row>
    <row r="345" ht="14.25" customHeight="1">
      <c r="G345" s="55"/>
    </row>
    <row r="346" ht="14.25" customHeight="1">
      <c r="G346" s="55"/>
    </row>
    <row r="347" ht="14.25" customHeight="1">
      <c r="G347" s="55"/>
    </row>
    <row r="348" ht="14.25" customHeight="1">
      <c r="G348" s="55"/>
    </row>
    <row r="349" ht="14.25" customHeight="1">
      <c r="G349" s="55"/>
    </row>
    <row r="350" ht="14.25" customHeight="1">
      <c r="G350" s="55"/>
    </row>
    <row r="351" ht="14.25" customHeight="1">
      <c r="G351" s="55"/>
    </row>
    <row r="352" ht="14.25" customHeight="1">
      <c r="G352" s="55"/>
    </row>
    <row r="353" ht="14.25" customHeight="1">
      <c r="G353" s="55"/>
    </row>
    <row r="354" ht="14.25" customHeight="1">
      <c r="G354" s="55"/>
    </row>
    <row r="355" ht="14.25" customHeight="1">
      <c r="G355" s="55"/>
    </row>
    <row r="356" ht="14.25" customHeight="1">
      <c r="G356" s="55"/>
    </row>
    <row r="357" ht="14.25" customHeight="1">
      <c r="G357" s="55"/>
    </row>
    <row r="358" ht="14.25" customHeight="1">
      <c r="G358" s="55"/>
    </row>
    <row r="359" ht="14.25" customHeight="1">
      <c r="G359" s="55"/>
    </row>
    <row r="360" ht="14.25" customHeight="1">
      <c r="G360" s="55"/>
    </row>
    <row r="361" ht="14.25" customHeight="1">
      <c r="G361" s="55"/>
    </row>
    <row r="362" ht="14.25" customHeight="1">
      <c r="G362" s="55"/>
    </row>
    <row r="363" ht="14.25" customHeight="1">
      <c r="G363" s="55"/>
    </row>
    <row r="364" ht="14.25" customHeight="1">
      <c r="G364" s="55"/>
    </row>
    <row r="365" ht="14.25" customHeight="1">
      <c r="G365" s="55"/>
    </row>
    <row r="366" ht="14.25" customHeight="1">
      <c r="G366" s="55"/>
    </row>
    <row r="367" ht="14.25" customHeight="1">
      <c r="G367" s="55"/>
    </row>
    <row r="368" ht="14.25" customHeight="1">
      <c r="G368" s="55"/>
    </row>
    <row r="369" ht="14.25" customHeight="1">
      <c r="G369" s="55"/>
    </row>
    <row r="370" ht="14.25" customHeight="1">
      <c r="G370" s="55"/>
    </row>
    <row r="371" ht="14.25" customHeight="1">
      <c r="G371" s="55"/>
    </row>
    <row r="372" ht="14.25" customHeight="1">
      <c r="G372" s="55"/>
    </row>
    <row r="373" ht="14.25" customHeight="1">
      <c r="G373" s="55"/>
    </row>
    <row r="374" ht="14.25" customHeight="1">
      <c r="G374" s="55"/>
    </row>
    <row r="375" ht="14.25" customHeight="1">
      <c r="G375" s="55"/>
    </row>
    <row r="376" ht="14.25" customHeight="1">
      <c r="G376" s="55"/>
    </row>
    <row r="377" ht="14.25" customHeight="1">
      <c r="G377" s="55"/>
    </row>
    <row r="378" ht="14.25" customHeight="1">
      <c r="G378" s="55"/>
    </row>
    <row r="379" ht="14.25" customHeight="1">
      <c r="G379" s="55"/>
    </row>
    <row r="380" ht="14.25" customHeight="1">
      <c r="G380" s="55"/>
    </row>
    <row r="381" ht="14.25" customHeight="1">
      <c r="G381" s="55"/>
    </row>
    <row r="382" ht="14.25" customHeight="1">
      <c r="G382" s="55"/>
    </row>
    <row r="383" ht="14.25" customHeight="1">
      <c r="G383" s="55"/>
    </row>
    <row r="384" ht="14.25" customHeight="1">
      <c r="G384" s="55"/>
    </row>
    <row r="385" ht="14.25" customHeight="1">
      <c r="G385" s="55"/>
    </row>
    <row r="386" ht="14.25" customHeight="1">
      <c r="G386" s="55"/>
    </row>
    <row r="387" ht="14.25" customHeight="1">
      <c r="G387" s="55"/>
    </row>
    <row r="388" ht="14.25" customHeight="1">
      <c r="G388" s="55"/>
    </row>
    <row r="389" ht="14.25" customHeight="1">
      <c r="G389" s="55"/>
    </row>
    <row r="390" ht="14.25" customHeight="1">
      <c r="G390" s="55"/>
    </row>
    <row r="391" ht="14.25" customHeight="1">
      <c r="G391" s="55"/>
    </row>
    <row r="392" ht="14.25" customHeight="1">
      <c r="G392" s="55"/>
    </row>
    <row r="393" ht="14.25" customHeight="1">
      <c r="G393" s="55"/>
    </row>
    <row r="394" ht="14.25" customHeight="1">
      <c r="G394" s="55"/>
    </row>
    <row r="395" ht="14.25" customHeight="1">
      <c r="G395" s="55"/>
    </row>
    <row r="396" ht="14.25" customHeight="1">
      <c r="G396" s="55"/>
    </row>
    <row r="397" ht="14.25" customHeight="1">
      <c r="G397" s="55"/>
    </row>
    <row r="398" ht="14.25" customHeight="1">
      <c r="G398" s="55"/>
    </row>
    <row r="399" ht="14.25" customHeight="1">
      <c r="G399" s="55"/>
    </row>
    <row r="400" ht="14.25" customHeight="1">
      <c r="G400" s="55"/>
    </row>
    <row r="401" ht="14.25" customHeight="1">
      <c r="G401" s="55"/>
    </row>
    <row r="402" ht="14.25" customHeight="1">
      <c r="G402" s="55"/>
    </row>
    <row r="403" ht="14.25" customHeight="1">
      <c r="G403" s="55"/>
    </row>
    <row r="404" ht="14.25" customHeight="1">
      <c r="G404" s="55"/>
    </row>
    <row r="405" ht="14.25" customHeight="1">
      <c r="G405" s="55"/>
    </row>
    <row r="406" ht="14.25" customHeight="1">
      <c r="G406" s="55"/>
    </row>
    <row r="407" ht="14.25" customHeight="1">
      <c r="G407" s="55"/>
    </row>
    <row r="408" ht="14.25" customHeight="1">
      <c r="G408" s="55"/>
    </row>
    <row r="409" ht="14.25" customHeight="1">
      <c r="G409" s="55"/>
    </row>
    <row r="410" ht="14.25" customHeight="1">
      <c r="G410" s="55"/>
    </row>
    <row r="411" ht="14.25" customHeight="1">
      <c r="G411" s="55"/>
    </row>
    <row r="412" ht="14.25" customHeight="1">
      <c r="G412" s="55"/>
    </row>
    <row r="413" ht="14.25" customHeight="1">
      <c r="G413" s="55"/>
    </row>
    <row r="414" ht="14.25" customHeight="1">
      <c r="G414" s="55"/>
    </row>
    <row r="415" ht="14.25" customHeight="1">
      <c r="G415" s="55"/>
    </row>
    <row r="416" ht="14.25" customHeight="1">
      <c r="G416" s="55"/>
    </row>
    <row r="417" ht="14.25" customHeight="1">
      <c r="G417" s="55"/>
    </row>
    <row r="418" ht="14.25" customHeight="1">
      <c r="G418" s="55"/>
    </row>
    <row r="419" ht="14.25" customHeight="1">
      <c r="G419" s="55"/>
    </row>
    <row r="420" ht="14.25" customHeight="1">
      <c r="G420" s="55"/>
    </row>
    <row r="421" ht="14.25" customHeight="1">
      <c r="G421" s="55"/>
    </row>
    <row r="422" ht="14.25" customHeight="1">
      <c r="G422" s="55"/>
    </row>
    <row r="423" ht="14.25" customHeight="1">
      <c r="G423" s="55"/>
    </row>
    <row r="424" ht="14.25" customHeight="1">
      <c r="G424" s="55"/>
    </row>
    <row r="425" ht="14.25" customHeight="1">
      <c r="G425" s="55"/>
    </row>
    <row r="426" ht="14.25" customHeight="1">
      <c r="G426" s="55"/>
    </row>
    <row r="427" ht="14.25" customHeight="1">
      <c r="G427" s="55"/>
    </row>
    <row r="428" ht="14.25" customHeight="1">
      <c r="G428" s="55"/>
    </row>
    <row r="429" ht="14.25" customHeight="1">
      <c r="G429" s="55"/>
    </row>
    <row r="430" ht="14.25" customHeight="1">
      <c r="G430" s="55"/>
    </row>
    <row r="431" ht="14.25" customHeight="1">
      <c r="G431" s="55"/>
    </row>
    <row r="432" ht="14.25" customHeight="1">
      <c r="G432" s="55"/>
    </row>
    <row r="433" ht="14.25" customHeight="1">
      <c r="G433" s="55"/>
    </row>
    <row r="434" ht="14.25" customHeight="1">
      <c r="G434" s="55"/>
    </row>
    <row r="435" ht="14.25" customHeight="1">
      <c r="G435" s="55"/>
    </row>
    <row r="436" ht="14.25" customHeight="1">
      <c r="G436" s="55"/>
    </row>
    <row r="437" ht="14.25" customHeight="1">
      <c r="G437" s="55"/>
    </row>
    <row r="438" ht="14.25" customHeight="1">
      <c r="G438" s="55"/>
    </row>
    <row r="439" ht="14.25" customHeight="1">
      <c r="G439" s="55"/>
    </row>
    <row r="440" ht="14.25" customHeight="1">
      <c r="G440" s="55"/>
    </row>
    <row r="441" ht="14.25" customHeight="1">
      <c r="G441" s="55"/>
    </row>
    <row r="442" ht="14.25" customHeight="1">
      <c r="G442" s="55"/>
    </row>
    <row r="443" ht="14.25" customHeight="1">
      <c r="G443" s="55"/>
    </row>
    <row r="444" ht="14.25" customHeight="1">
      <c r="G444" s="55"/>
    </row>
    <row r="445" ht="14.25" customHeight="1">
      <c r="G445" s="55"/>
    </row>
    <row r="446" ht="14.25" customHeight="1">
      <c r="G446" s="55"/>
    </row>
    <row r="447" ht="14.25" customHeight="1">
      <c r="G447" s="55"/>
    </row>
    <row r="448" ht="14.25" customHeight="1">
      <c r="G448" s="55"/>
    </row>
    <row r="449" ht="14.25" customHeight="1">
      <c r="G449" s="55"/>
    </row>
    <row r="450" ht="14.25" customHeight="1">
      <c r="G450" s="55"/>
    </row>
    <row r="451" ht="14.25" customHeight="1">
      <c r="G451" s="55"/>
    </row>
    <row r="452" ht="14.25" customHeight="1">
      <c r="G452" s="55"/>
    </row>
    <row r="453" ht="14.25" customHeight="1">
      <c r="G453" s="55"/>
    </row>
    <row r="454" ht="14.25" customHeight="1">
      <c r="G454" s="55"/>
    </row>
    <row r="455" ht="14.25" customHeight="1">
      <c r="G455" s="55"/>
    </row>
    <row r="456" ht="14.25" customHeight="1">
      <c r="G456" s="55"/>
    </row>
    <row r="457" ht="14.25" customHeight="1">
      <c r="G457" s="55"/>
    </row>
    <row r="458" ht="14.25" customHeight="1">
      <c r="G458" s="55"/>
    </row>
    <row r="459" ht="14.25" customHeight="1">
      <c r="G459" s="55"/>
    </row>
    <row r="460" ht="14.25" customHeight="1">
      <c r="G460" s="55"/>
    </row>
    <row r="461" ht="14.25" customHeight="1">
      <c r="G461" s="55"/>
    </row>
    <row r="462" ht="14.25" customHeight="1">
      <c r="G462" s="55"/>
    </row>
    <row r="463" ht="14.25" customHeight="1">
      <c r="G463" s="55"/>
    </row>
    <row r="464" ht="14.25" customHeight="1">
      <c r="G464" s="55"/>
    </row>
    <row r="465" ht="14.25" customHeight="1">
      <c r="G465" s="55"/>
    </row>
    <row r="466" ht="14.25" customHeight="1">
      <c r="G466" s="55"/>
    </row>
    <row r="467" ht="14.25" customHeight="1">
      <c r="G467" s="55"/>
    </row>
    <row r="468" ht="14.25" customHeight="1">
      <c r="G468" s="55"/>
    </row>
    <row r="469" ht="14.25" customHeight="1">
      <c r="G469" s="55"/>
    </row>
    <row r="470" ht="14.25" customHeight="1">
      <c r="G470" s="55"/>
    </row>
    <row r="471" ht="14.25" customHeight="1">
      <c r="G471" s="55"/>
    </row>
    <row r="472" ht="14.25" customHeight="1">
      <c r="G472" s="55"/>
    </row>
    <row r="473" ht="14.25" customHeight="1">
      <c r="G473" s="55"/>
    </row>
    <row r="474" ht="14.25" customHeight="1">
      <c r="G474" s="55"/>
    </row>
    <row r="475" ht="14.25" customHeight="1">
      <c r="G475" s="55"/>
    </row>
    <row r="476" ht="14.25" customHeight="1">
      <c r="G476" s="55"/>
    </row>
    <row r="477" ht="14.25" customHeight="1">
      <c r="G477" s="55"/>
    </row>
    <row r="478" ht="14.25" customHeight="1">
      <c r="G478" s="55"/>
    </row>
    <row r="479" ht="14.25" customHeight="1">
      <c r="G479" s="55"/>
    </row>
    <row r="480" ht="14.25" customHeight="1">
      <c r="G480" s="55"/>
    </row>
    <row r="481" ht="14.25" customHeight="1">
      <c r="G481" s="55"/>
    </row>
    <row r="482" ht="14.25" customHeight="1">
      <c r="G482" s="55"/>
    </row>
    <row r="483" ht="14.25" customHeight="1">
      <c r="G483" s="55"/>
    </row>
    <row r="484" ht="14.25" customHeight="1">
      <c r="G484" s="55"/>
    </row>
    <row r="485" ht="14.25" customHeight="1">
      <c r="G485" s="55"/>
    </row>
    <row r="486" ht="14.25" customHeight="1">
      <c r="G486" s="55"/>
    </row>
    <row r="487" ht="14.25" customHeight="1">
      <c r="G487" s="55"/>
    </row>
    <row r="488" ht="14.25" customHeight="1">
      <c r="G488" s="55"/>
    </row>
    <row r="489" ht="14.25" customHeight="1">
      <c r="G489" s="55"/>
    </row>
    <row r="490" ht="14.25" customHeight="1">
      <c r="G490" s="55"/>
    </row>
    <row r="491" ht="14.25" customHeight="1">
      <c r="G491" s="55"/>
    </row>
    <row r="492" ht="14.25" customHeight="1">
      <c r="G492" s="55"/>
    </row>
    <row r="493" ht="14.25" customHeight="1">
      <c r="G493" s="55"/>
    </row>
    <row r="494" ht="14.25" customHeight="1">
      <c r="G494" s="55"/>
    </row>
    <row r="495" ht="14.25" customHeight="1">
      <c r="G495" s="55"/>
    </row>
    <row r="496" ht="14.25" customHeight="1">
      <c r="G496" s="55"/>
    </row>
    <row r="497" ht="14.25" customHeight="1">
      <c r="G497" s="55"/>
    </row>
    <row r="498" ht="14.25" customHeight="1">
      <c r="G498" s="55"/>
    </row>
    <row r="499" ht="14.25" customHeight="1">
      <c r="G499" s="55"/>
    </row>
    <row r="500" ht="14.25" customHeight="1">
      <c r="G500" s="55"/>
    </row>
    <row r="501" ht="14.25" customHeight="1">
      <c r="G501" s="55"/>
    </row>
    <row r="502" ht="14.25" customHeight="1">
      <c r="G502" s="55"/>
    </row>
    <row r="503" ht="14.25" customHeight="1">
      <c r="G503" s="55"/>
    </row>
    <row r="504" ht="14.25" customHeight="1">
      <c r="G504" s="55"/>
    </row>
    <row r="505" ht="14.25" customHeight="1">
      <c r="G505" s="55"/>
    </row>
    <row r="506" ht="14.25" customHeight="1">
      <c r="G506" s="55"/>
    </row>
    <row r="507" ht="14.25" customHeight="1">
      <c r="G507" s="55"/>
    </row>
    <row r="508" ht="14.25" customHeight="1">
      <c r="G508" s="55"/>
    </row>
    <row r="509" ht="14.25" customHeight="1">
      <c r="G509" s="55"/>
    </row>
    <row r="510" ht="14.25" customHeight="1">
      <c r="G510" s="55"/>
    </row>
    <row r="511" ht="14.25" customHeight="1">
      <c r="G511" s="55"/>
    </row>
    <row r="512" ht="14.25" customHeight="1">
      <c r="G512" s="55"/>
    </row>
    <row r="513" ht="14.25" customHeight="1">
      <c r="G513" s="55"/>
    </row>
    <row r="514" ht="14.25" customHeight="1">
      <c r="G514" s="55"/>
    </row>
    <row r="515" ht="14.25" customHeight="1">
      <c r="G515" s="55"/>
    </row>
    <row r="516" ht="14.25" customHeight="1">
      <c r="G516" s="55"/>
    </row>
    <row r="517" ht="14.25" customHeight="1">
      <c r="G517" s="55"/>
    </row>
    <row r="518" ht="14.25" customHeight="1">
      <c r="G518" s="55"/>
    </row>
    <row r="519" ht="14.25" customHeight="1">
      <c r="G519" s="55"/>
    </row>
    <row r="520" ht="14.25" customHeight="1">
      <c r="G520" s="55"/>
    </row>
    <row r="521" ht="14.25" customHeight="1">
      <c r="G521" s="55"/>
    </row>
    <row r="522" ht="14.25" customHeight="1">
      <c r="G522" s="55"/>
    </row>
    <row r="523" ht="14.25" customHeight="1">
      <c r="G523" s="55"/>
    </row>
    <row r="524" ht="14.25" customHeight="1">
      <c r="G524" s="55"/>
    </row>
    <row r="525" ht="14.25" customHeight="1">
      <c r="G525" s="55"/>
    </row>
    <row r="526" ht="14.25" customHeight="1">
      <c r="G526" s="55"/>
    </row>
    <row r="527" ht="14.25" customHeight="1">
      <c r="G527" s="55"/>
    </row>
    <row r="528" ht="14.25" customHeight="1">
      <c r="G528" s="55"/>
    </row>
    <row r="529" ht="14.25" customHeight="1">
      <c r="G529" s="55"/>
    </row>
    <row r="530" ht="14.25" customHeight="1">
      <c r="G530" s="55"/>
    </row>
    <row r="531" ht="14.25" customHeight="1">
      <c r="G531" s="55"/>
    </row>
    <row r="532" ht="14.25" customHeight="1">
      <c r="G532" s="55"/>
    </row>
    <row r="533" ht="14.25" customHeight="1">
      <c r="G533" s="55"/>
    </row>
    <row r="534" ht="14.25" customHeight="1">
      <c r="G534" s="55"/>
    </row>
    <row r="535" ht="14.25" customHeight="1">
      <c r="G535" s="55"/>
    </row>
    <row r="536" ht="14.25" customHeight="1">
      <c r="G536" s="55"/>
    </row>
    <row r="537" ht="14.25" customHeight="1">
      <c r="G537" s="55"/>
    </row>
    <row r="538" ht="14.25" customHeight="1">
      <c r="G538" s="55"/>
    </row>
    <row r="539" ht="14.25" customHeight="1">
      <c r="G539" s="55"/>
    </row>
    <row r="540" ht="14.25" customHeight="1">
      <c r="G540" s="55"/>
    </row>
    <row r="541" ht="14.25" customHeight="1">
      <c r="G541" s="55"/>
    </row>
    <row r="542" ht="14.25" customHeight="1">
      <c r="G542" s="55"/>
    </row>
    <row r="543" ht="14.25" customHeight="1">
      <c r="G543" s="55"/>
    </row>
    <row r="544" ht="14.25" customHeight="1">
      <c r="G544" s="55"/>
    </row>
    <row r="545" ht="14.25" customHeight="1">
      <c r="G545" s="55"/>
    </row>
    <row r="546" ht="14.25" customHeight="1">
      <c r="G546" s="55"/>
    </row>
    <row r="547" ht="14.25" customHeight="1">
      <c r="G547" s="55"/>
    </row>
    <row r="548" ht="14.25" customHeight="1">
      <c r="G548" s="55"/>
    </row>
    <row r="549" ht="14.25" customHeight="1">
      <c r="G549" s="55"/>
    </row>
    <row r="550" ht="14.25" customHeight="1">
      <c r="G550" s="55"/>
    </row>
    <row r="551" ht="14.25" customHeight="1">
      <c r="G551" s="55"/>
    </row>
    <row r="552" ht="14.25" customHeight="1">
      <c r="G552" s="55"/>
    </row>
    <row r="553" ht="14.25" customHeight="1">
      <c r="G553" s="55"/>
    </row>
    <row r="554" ht="14.25" customHeight="1">
      <c r="G554" s="55"/>
    </row>
    <row r="555" ht="14.25" customHeight="1">
      <c r="G555" s="55"/>
    </row>
    <row r="556" ht="14.25" customHeight="1">
      <c r="G556" s="55"/>
    </row>
    <row r="557" ht="14.25" customHeight="1">
      <c r="G557" s="55"/>
    </row>
    <row r="558" ht="14.25" customHeight="1">
      <c r="G558" s="55"/>
    </row>
    <row r="559" ht="14.25" customHeight="1">
      <c r="G559" s="55"/>
    </row>
    <row r="560" ht="14.25" customHeight="1">
      <c r="G560" s="55"/>
    </row>
    <row r="561" ht="14.25" customHeight="1">
      <c r="G561" s="55"/>
    </row>
    <row r="562" ht="14.25" customHeight="1">
      <c r="G562" s="55"/>
    </row>
    <row r="563" ht="14.25" customHeight="1">
      <c r="G563" s="55"/>
    </row>
    <row r="564" ht="14.25" customHeight="1">
      <c r="G564" s="55"/>
    </row>
    <row r="565" ht="14.25" customHeight="1">
      <c r="G565" s="55"/>
    </row>
    <row r="566" ht="14.25" customHeight="1">
      <c r="G566" s="55"/>
    </row>
    <row r="567" ht="14.25" customHeight="1">
      <c r="G567" s="55"/>
    </row>
    <row r="568" ht="14.25" customHeight="1">
      <c r="G568" s="55"/>
    </row>
    <row r="569" ht="14.25" customHeight="1">
      <c r="G569" s="55"/>
    </row>
    <row r="570" ht="14.25" customHeight="1">
      <c r="G570" s="55"/>
    </row>
    <row r="571" ht="14.25" customHeight="1">
      <c r="G571" s="55"/>
    </row>
    <row r="572" ht="14.25" customHeight="1">
      <c r="G572" s="55"/>
    </row>
    <row r="573" ht="14.25" customHeight="1">
      <c r="G573" s="55"/>
    </row>
    <row r="574" ht="14.25" customHeight="1">
      <c r="G574" s="55"/>
    </row>
    <row r="575" ht="14.25" customHeight="1">
      <c r="G575" s="55"/>
    </row>
    <row r="576" ht="14.25" customHeight="1">
      <c r="G576" s="55"/>
    </row>
    <row r="577" ht="14.25" customHeight="1">
      <c r="G577" s="55"/>
    </row>
    <row r="578" ht="14.25" customHeight="1">
      <c r="G578" s="55"/>
    </row>
    <row r="579" ht="14.25" customHeight="1">
      <c r="G579" s="55"/>
    </row>
    <row r="580" ht="14.25" customHeight="1">
      <c r="G580" s="55"/>
    </row>
    <row r="581" ht="14.25" customHeight="1">
      <c r="G581" s="55"/>
    </row>
    <row r="582" ht="14.25" customHeight="1">
      <c r="G582" s="55"/>
    </row>
    <row r="583" ht="14.25" customHeight="1">
      <c r="G583" s="55"/>
    </row>
    <row r="584" ht="14.25" customHeight="1">
      <c r="G584" s="55"/>
    </row>
    <row r="585" ht="14.25" customHeight="1">
      <c r="G585" s="55"/>
    </row>
    <row r="586" ht="14.25" customHeight="1">
      <c r="G586" s="55"/>
    </row>
    <row r="587" ht="14.25" customHeight="1">
      <c r="G587" s="55"/>
    </row>
    <row r="588" ht="14.25" customHeight="1">
      <c r="G588" s="55"/>
    </row>
    <row r="589" ht="14.25" customHeight="1">
      <c r="G589" s="55"/>
    </row>
    <row r="590" ht="14.25" customHeight="1">
      <c r="G590" s="55"/>
    </row>
    <row r="591" ht="14.25" customHeight="1">
      <c r="G591" s="55"/>
    </row>
    <row r="592" ht="14.25" customHeight="1">
      <c r="G592" s="55"/>
    </row>
    <row r="593" ht="14.25" customHeight="1">
      <c r="G593" s="55"/>
    </row>
    <row r="594" ht="14.25" customHeight="1">
      <c r="G594" s="55"/>
    </row>
    <row r="595" ht="14.25" customHeight="1">
      <c r="G595" s="55"/>
    </row>
    <row r="596" ht="14.25" customHeight="1">
      <c r="G596" s="55"/>
    </row>
    <row r="597" ht="14.25" customHeight="1">
      <c r="G597" s="55"/>
    </row>
    <row r="598" ht="14.25" customHeight="1">
      <c r="G598" s="55"/>
    </row>
    <row r="599" ht="14.25" customHeight="1">
      <c r="G599" s="55"/>
    </row>
    <row r="600" ht="14.25" customHeight="1">
      <c r="G600" s="55"/>
    </row>
    <row r="601" ht="14.25" customHeight="1">
      <c r="G601" s="55"/>
    </row>
    <row r="602" ht="14.25" customHeight="1">
      <c r="G602" s="55"/>
    </row>
    <row r="603" ht="14.25" customHeight="1">
      <c r="G603" s="55"/>
    </row>
    <row r="604" ht="14.25" customHeight="1">
      <c r="G604" s="55"/>
    </row>
    <row r="605" ht="14.25" customHeight="1">
      <c r="G605" s="55"/>
    </row>
    <row r="606" ht="14.25" customHeight="1">
      <c r="G606" s="55"/>
    </row>
    <row r="607" ht="14.25" customHeight="1">
      <c r="G607" s="55"/>
    </row>
    <row r="608" ht="14.25" customHeight="1">
      <c r="G608" s="55"/>
    </row>
    <row r="609" ht="14.25" customHeight="1">
      <c r="G609" s="55"/>
    </row>
    <row r="610" ht="14.25" customHeight="1">
      <c r="G610" s="55"/>
    </row>
    <row r="611" ht="14.25" customHeight="1">
      <c r="G611" s="55"/>
    </row>
    <row r="612" ht="14.25" customHeight="1">
      <c r="G612" s="55"/>
    </row>
    <row r="613" ht="14.25" customHeight="1">
      <c r="G613" s="55"/>
    </row>
    <row r="614" ht="14.25" customHeight="1">
      <c r="G614" s="55"/>
    </row>
    <row r="615" ht="14.25" customHeight="1">
      <c r="G615" s="55"/>
    </row>
    <row r="616" ht="14.25" customHeight="1">
      <c r="G616" s="55"/>
    </row>
    <row r="617" ht="14.25" customHeight="1">
      <c r="G617" s="55"/>
    </row>
    <row r="618" ht="14.25" customHeight="1">
      <c r="G618" s="55"/>
    </row>
    <row r="619" ht="14.25" customHeight="1">
      <c r="G619" s="55"/>
    </row>
    <row r="620" ht="14.25" customHeight="1">
      <c r="G620" s="55"/>
    </row>
    <row r="621" ht="14.25" customHeight="1">
      <c r="G621" s="55"/>
    </row>
    <row r="622" ht="14.25" customHeight="1">
      <c r="G622" s="55"/>
    </row>
    <row r="623" ht="14.25" customHeight="1">
      <c r="G623" s="55"/>
    </row>
    <row r="624" ht="14.25" customHeight="1">
      <c r="G624" s="55"/>
    </row>
    <row r="625" ht="14.25" customHeight="1">
      <c r="G625" s="55"/>
    </row>
    <row r="626" ht="14.25" customHeight="1">
      <c r="G626" s="55"/>
    </row>
    <row r="627" ht="14.25" customHeight="1">
      <c r="G627" s="55"/>
    </row>
    <row r="628" ht="14.25" customHeight="1">
      <c r="G628" s="55"/>
    </row>
    <row r="629" ht="14.25" customHeight="1">
      <c r="G629" s="55"/>
    </row>
    <row r="630" ht="14.25" customHeight="1">
      <c r="G630" s="55"/>
    </row>
    <row r="631" ht="14.25" customHeight="1">
      <c r="G631" s="55"/>
    </row>
    <row r="632" ht="14.25" customHeight="1">
      <c r="G632" s="55"/>
    </row>
    <row r="633" ht="14.25" customHeight="1">
      <c r="G633" s="55"/>
    </row>
    <row r="634" ht="14.25" customHeight="1">
      <c r="G634" s="55"/>
    </row>
    <row r="635" ht="14.25" customHeight="1">
      <c r="G635" s="55"/>
    </row>
    <row r="636" ht="14.25" customHeight="1">
      <c r="G636" s="55"/>
    </row>
    <row r="637" ht="14.25" customHeight="1">
      <c r="G637" s="55"/>
    </row>
    <row r="638" ht="14.25" customHeight="1">
      <c r="G638" s="55"/>
    </row>
    <row r="639" ht="14.25" customHeight="1">
      <c r="G639" s="55"/>
    </row>
    <row r="640" ht="14.25" customHeight="1">
      <c r="G640" s="55"/>
    </row>
    <row r="641" ht="14.25" customHeight="1">
      <c r="G641" s="55"/>
    </row>
    <row r="642" ht="14.25" customHeight="1">
      <c r="G642" s="55"/>
    </row>
    <row r="643" ht="14.25" customHeight="1">
      <c r="G643" s="55"/>
    </row>
    <row r="644" ht="14.25" customHeight="1">
      <c r="G644" s="55"/>
    </row>
    <row r="645" ht="14.25" customHeight="1">
      <c r="G645" s="55"/>
    </row>
    <row r="646" ht="14.25" customHeight="1">
      <c r="G646" s="55"/>
    </row>
    <row r="647" ht="14.25" customHeight="1">
      <c r="G647" s="55"/>
    </row>
    <row r="648" ht="14.25" customHeight="1">
      <c r="G648" s="55"/>
    </row>
    <row r="649" ht="14.25" customHeight="1">
      <c r="G649" s="55"/>
    </row>
    <row r="650" ht="14.25" customHeight="1">
      <c r="G650" s="55"/>
    </row>
    <row r="651" ht="14.25" customHeight="1">
      <c r="G651" s="55"/>
    </row>
    <row r="652" ht="14.25" customHeight="1">
      <c r="G652" s="55"/>
    </row>
    <row r="653" ht="14.25" customHeight="1">
      <c r="G653" s="55"/>
    </row>
    <row r="654" ht="14.25" customHeight="1">
      <c r="G654" s="55"/>
    </row>
    <row r="655" ht="14.25" customHeight="1">
      <c r="G655" s="55"/>
    </row>
    <row r="656" ht="14.25" customHeight="1">
      <c r="G656" s="55"/>
    </row>
    <row r="657" ht="14.25" customHeight="1">
      <c r="G657" s="55"/>
    </row>
    <row r="658" ht="14.25" customHeight="1">
      <c r="G658" s="55"/>
    </row>
    <row r="659" ht="14.25" customHeight="1">
      <c r="G659" s="55"/>
    </row>
    <row r="660" ht="14.25" customHeight="1">
      <c r="G660" s="55"/>
    </row>
    <row r="661" ht="14.25" customHeight="1">
      <c r="G661" s="55"/>
    </row>
    <row r="662" ht="14.25" customHeight="1">
      <c r="G662" s="55"/>
    </row>
    <row r="663" ht="14.25" customHeight="1">
      <c r="G663" s="55"/>
    </row>
    <row r="664" ht="14.25" customHeight="1">
      <c r="G664" s="55"/>
    </row>
    <row r="665" ht="14.25" customHeight="1">
      <c r="G665" s="55"/>
    </row>
    <row r="666" ht="14.25" customHeight="1">
      <c r="G666" s="55"/>
    </row>
    <row r="667" ht="14.25" customHeight="1">
      <c r="G667" s="55"/>
    </row>
    <row r="668" ht="14.25" customHeight="1">
      <c r="G668" s="55"/>
    </row>
    <row r="669" ht="14.25" customHeight="1">
      <c r="G669" s="55"/>
    </row>
    <row r="670" ht="14.25" customHeight="1">
      <c r="G670" s="55"/>
    </row>
    <row r="671" ht="14.25" customHeight="1">
      <c r="G671" s="55"/>
    </row>
    <row r="672" ht="14.25" customHeight="1">
      <c r="G672" s="55"/>
    </row>
    <row r="673" ht="14.25" customHeight="1">
      <c r="G673" s="55"/>
    </row>
    <row r="674" ht="14.25" customHeight="1">
      <c r="G674" s="55"/>
    </row>
    <row r="675" ht="14.25" customHeight="1">
      <c r="G675" s="55"/>
    </row>
    <row r="676" ht="14.25" customHeight="1">
      <c r="G676" s="55"/>
    </row>
    <row r="677" ht="14.25" customHeight="1">
      <c r="G677" s="55"/>
    </row>
    <row r="678" ht="14.25" customHeight="1">
      <c r="G678" s="55"/>
    </row>
    <row r="679" ht="14.25" customHeight="1">
      <c r="G679" s="55"/>
    </row>
    <row r="680" ht="14.25" customHeight="1">
      <c r="G680" s="55"/>
    </row>
    <row r="681" ht="14.25" customHeight="1">
      <c r="G681" s="55"/>
    </row>
    <row r="682" ht="14.25" customHeight="1">
      <c r="G682" s="55"/>
    </row>
    <row r="683" ht="14.25" customHeight="1">
      <c r="G683" s="55"/>
    </row>
    <row r="684" ht="14.25" customHeight="1">
      <c r="G684" s="55"/>
    </row>
    <row r="685" ht="14.25" customHeight="1">
      <c r="G685" s="55"/>
    </row>
    <row r="686" ht="14.25" customHeight="1">
      <c r="G686" s="55"/>
    </row>
    <row r="687" ht="14.25" customHeight="1">
      <c r="G687" s="55"/>
    </row>
    <row r="688" ht="14.25" customHeight="1">
      <c r="G688" s="55"/>
    </row>
    <row r="689" ht="14.25" customHeight="1">
      <c r="G689" s="55"/>
    </row>
    <row r="690" ht="14.25" customHeight="1">
      <c r="G690" s="55"/>
    </row>
    <row r="691" ht="14.25" customHeight="1">
      <c r="G691" s="55"/>
    </row>
    <row r="692" ht="14.25" customHeight="1">
      <c r="G692" s="55"/>
    </row>
    <row r="693" ht="14.25" customHeight="1">
      <c r="G693" s="55"/>
    </row>
    <row r="694" ht="14.25" customHeight="1">
      <c r="G694" s="55"/>
    </row>
    <row r="695" ht="14.25" customHeight="1">
      <c r="G695" s="55"/>
    </row>
    <row r="696" ht="14.25" customHeight="1">
      <c r="G696" s="55"/>
    </row>
    <row r="697" ht="14.25" customHeight="1">
      <c r="G697" s="55"/>
    </row>
    <row r="698" ht="14.25" customHeight="1">
      <c r="G698" s="55"/>
    </row>
    <row r="699" ht="14.25" customHeight="1">
      <c r="G699" s="55"/>
    </row>
    <row r="700" ht="14.25" customHeight="1">
      <c r="G700" s="55"/>
    </row>
    <row r="701" ht="14.25" customHeight="1">
      <c r="G701" s="55"/>
    </row>
    <row r="702" ht="14.25" customHeight="1">
      <c r="G702" s="55"/>
    </row>
    <row r="703" ht="14.25" customHeight="1">
      <c r="G703" s="55"/>
    </row>
    <row r="704" ht="14.25" customHeight="1">
      <c r="G704" s="55"/>
    </row>
    <row r="705" ht="14.25" customHeight="1">
      <c r="G705" s="55"/>
    </row>
    <row r="706" ht="14.25" customHeight="1">
      <c r="G706" s="55"/>
    </row>
    <row r="707" ht="14.25" customHeight="1">
      <c r="G707" s="55"/>
    </row>
    <row r="708" ht="14.25" customHeight="1">
      <c r="G708" s="55"/>
    </row>
    <row r="709" ht="14.25" customHeight="1">
      <c r="G709" s="55"/>
    </row>
    <row r="710" ht="14.25" customHeight="1">
      <c r="G710" s="55"/>
    </row>
    <row r="711" ht="14.25" customHeight="1">
      <c r="G711" s="55"/>
    </row>
    <row r="712" ht="14.25" customHeight="1">
      <c r="G712" s="55"/>
    </row>
    <row r="713" ht="14.25" customHeight="1">
      <c r="G713" s="55"/>
    </row>
    <row r="714" ht="14.25" customHeight="1">
      <c r="G714" s="55"/>
    </row>
    <row r="715" ht="14.25" customHeight="1">
      <c r="G715" s="55"/>
    </row>
    <row r="716" ht="14.25" customHeight="1">
      <c r="G716" s="55"/>
    </row>
    <row r="717" ht="14.25" customHeight="1">
      <c r="G717" s="55"/>
    </row>
    <row r="718" ht="14.25" customHeight="1">
      <c r="G718" s="55"/>
    </row>
    <row r="719" ht="14.25" customHeight="1">
      <c r="G719" s="55"/>
    </row>
    <row r="720" ht="14.25" customHeight="1">
      <c r="G720" s="55"/>
    </row>
    <row r="721" ht="14.25" customHeight="1">
      <c r="G721" s="55"/>
    </row>
    <row r="722" ht="14.25" customHeight="1">
      <c r="G722" s="55"/>
    </row>
    <row r="723" ht="14.25" customHeight="1">
      <c r="G723" s="55"/>
    </row>
    <row r="724" ht="14.25" customHeight="1">
      <c r="G724" s="55"/>
    </row>
    <row r="725" ht="14.25" customHeight="1">
      <c r="G725" s="55"/>
    </row>
    <row r="726" ht="14.25" customHeight="1">
      <c r="G726" s="55"/>
    </row>
    <row r="727" ht="14.25" customHeight="1">
      <c r="G727" s="55"/>
    </row>
    <row r="728" ht="14.25" customHeight="1">
      <c r="G728" s="55"/>
    </row>
    <row r="729" ht="14.25" customHeight="1">
      <c r="G729" s="55"/>
    </row>
    <row r="730" ht="14.25" customHeight="1">
      <c r="G730" s="55"/>
    </row>
    <row r="731" ht="14.25" customHeight="1">
      <c r="G731" s="55"/>
    </row>
    <row r="732" ht="14.25" customHeight="1">
      <c r="G732" s="55"/>
    </row>
    <row r="733" ht="14.25" customHeight="1">
      <c r="G733" s="55"/>
    </row>
    <row r="734" ht="14.25" customHeight="1">
      <c r="G734" s="55"/>
    </row>
    <row r="735" ht="14.25" customHeight="1">
      <c r="G735" s="55"/>
    </row>
    <row r="736" ht="14.25" customHeight="1">
      <c r="G736" s="55"/>
    </row>
    <row r="737" ht="14.25" customHeight="1">
      <c r="G737" s="55"/>
    </row>
    <row r="738" ht="14.25" customHeight="1">
      <c r="G738" s="55"/>
    </row>
    <row r="739" ht="14.25" customHeight="1">
      <c r="G739" s="55"/>
    </row>
    <row r="740" ht="14.25" customHeight="1">
      <c r="G740" s="55"/>
    </row>
    <row r="741" ht="14.25" customHeight="1">
      <c r="G741" s="55"/>
    </row>
    <row r="742" ht="14.25" customHeight="1">
      <c r="G742" s="55"/>
    </row>
    <row r="743" ht="14.25" customHeight="1">
      <c r="G743" s="55"/>
    </row>
    <row r="744" ht="14.25" customHeight="1">
      <c r="G744" s="55"/>
    </row>
    <row r="745" ht="14.25" customHeight="1">
      <c r="G745" s="55"/>
    </row>
    <row r="746" ht="14.25" customHeight="1">
      <c r="G746" s="55"/>
    </row>
    <row r="747" ht="14.25" customHeight="1">
      <c r="G747" s="55"/>
    </row>
    <row r="748" ht="14.25" customHeight="1">
      <c r="G748" s="55"/>
    </row>
    <row r="749" ht="14.25" customHeight="1">
      <c r="G749" s="55"/>
    </row>
    <row r="750" ht="14.25" customHeight="1">
      <c r="G750" s="55"/>
    </row>
    <row r="751" ht="14.25" customHeight="1">
      <c r="G751" s="55"/>
    </row>
    <row r="752" ht="14.25" customHeight="1">
      <c r="G752" s="55"/>
    </row>
    <row r="753" ht="14.25" customHeight="1">
      <c r="G753" s="55"/>
    </row>
    <row r="754" ht="14.25" customHeight="1">
      <c r="G754" s="55"/>
    </row>
    <row r="755" ht="14.25" customHeight="1">
      <c r="G755" s="55"/>
    </row>
    <row r="756" ht="14.25" customHeight="1">
      <c r="G756" s="55"/>
    </row>
    <row r="757" ht="14.25" customHeight="1">
      <c r="G757" s="55"/>
    </row>
    <row r="758" ht="14.25" customHeight="1">
      <c r="G758" s="55"/>
    </row>
    <row r="759" ht="14.25" customHeight="1">
      <c r="G759" s="55"/>
    </row>
    <row r="760" ht="14.25" customHeight="1">
      <c r="G760" s="55"/>
    </row>
    <row r="761" ht="14.25" customHeight="1">
      <c r="G761" s="55"/>
    </row>
    <row r="762" ht="14.25" customHeight="1">
      <c r="G762" s="55"/>
    </row>
    <row r="763" ht="14.25" customHeight="1">
      <c r="G763" s="55"/>
    </row>
    <row r="764" ht="14.25" customHeight="1">
      <c r="G764" s="55"/>
    </row>
    <row r="765" ht="14.25" customHeight="1">
      <c r="G765" s="55"/>
    </row>
    <row r="766" ht="14.25" customHeight="1">
      <c r="G766" s="55"/>
    </row>
    <row r="767" ht="14.25" customHeight="1">
      <c r="G767" s="55"/>
    </row>
    <row r="768" ht="14.25" customHeight="1">
      <c r="G768" s="55"/>
    </row>
    <row r="769" ht="14.25" customHeight="1">
      <c r="G769" s="55"/>
    </row>
    <row r="770" ht="14.25" customHeight="1">
      <c r="G770" s="55"/>
    </row>
    <row r="771" ht="14.25" customHeight="1">
      <c r="G771" s="55"/>
    </row>
    <row r="772" ht="14.25" customHeight="1">
      <c r="G772" s="55"/>
    </row>
    <row r="773" ht="14.25" customHeight="1">
      <c r="G773" s="55"/>
    </row>
    <row r="774" ht="14.25" customHeight="1">
      <c r="G774" s="55"/>
    </row>
    <row r="775" ht="14.25" customHeight="1">
      <c r="G775" s="55"/>
    </row>
    <row r="776" ht="14.25" customHeight="1">
      <c r="G776" s="55"/>
    </row>
    <row r="777" ht="14.25" customHeight="1">
      <c r="G777" s="55"/>
    </row>
    <row r="778" ht="14.25" customHeight="1">
      <c r="G778" s="55"/>
    </row>
    <row r="779" ht="14.25" customHeight="1">
      <c r="G779" s="55"/>
    </row>
    <row r="780" ht="14.25" customHeight="1">
      <c r="G780" s="55"/>
    </row>
    <row r="781" ht="14.25" customHeight="1">
      <c r="G781" s="55"/>
    </row>
    <row r="782" ht="14.25" customHeight="1">
      <c r="G782" s="55"/>
    </row>
    <row r="783" ht="14.25" customHeight="1">
      <c r="G783" s="55"/>
    </row>
    <row r="784" ht="14.25" customHeight="1">
      <c r="G784" s="55"/>
    </row>
    <row r="785" ht="14.25" customHeight="1">
      <c r="G785" s="55"/>
    </row>
    <row r="786" ht="14.25" customHeight="1">
      <c r="G786" s="55"/>
    </row>
    <row r="787" ht="14.25" customHeight="1">
      <c r="G787" s="55"/>
    </row>
    <row r="788" ht="14.25" customHeight="1">
      <c r="G788" s="55"/>
    </row>
    <row r="789" ht="14.25" customHeight="1">
      <c r="G789" s="55"/>
    </row>
    <row r="790" ht="14.25" customHeight="1">
      <c r="G790" s="55"/>
    </row>
    <row r="791" ht="14.25" customHeight="1">
      <c r="G791" s="55"/>
    </row>
    <row r="792" ht="14.25" customHeight="1">
      <c r="G792" s="55"/>
    </row>
    <row r="793" ht="14.25" customHeight="1">
      <c r="G793" s="55"/>
    </row>
    <row r="794" ht="14.25" customHeight="1">
      <c r="G794" s="55"/>
    </row>
    <row r="795" ht="14.25" customHeight="1">
      <c r="G795" s="55"/>
    </row>
    <row r="796" ht="14.25" customHeight="1">
      <c r="G796" s="55"/>
    </row>
    <row r="797" ht="14.25" customHeight="1">
      <c r="G797" s="55"/>
    </row>
    <row r="798" ht="14.25" customHeight="1">
      <c r="G798" s="55"/>
    </row>
    <row r="799" ht="14.25" customHeight="1">
      <c r="G799" s="55"/>
    </row>
    <row r="800" ht="14.25" customHeight="1">
      <c r="G800" s="55"/>
    </row>
    <row r="801" ht="14.25" customHeight="1">
      <c r="G801" s="55"/>
    </row>
    <row r="802" ht="14.25" customHeight="1">
      <c r="G802" s="55"/>
    </row>
    <row r="803" ht="14.25" customHeight="1">
      <c r="G803" s="55"/>
    </row>
    <row r="804" ht="14.25" customHeight="1">
      <c r="G804" s="55"/>
    </row>
    <row r="805" ht="14.25" customHeight="1">
      <c r="G805" s="55"/>
    </row>
    <row r="806" ht="14.25" customHeight="1">
      <c r="G806" s="55"/>
    </row>
    <row r="807" ht="14.25" customHeight="1">
      <c r="G807" s="55"/>
    </row>
    <row r="808" ht="14.25" customHeight="1">
      <c r="G808" s="55"/>
    </row>
    <row r="809" ht="14.25" customHeight="1">
      <c r="G809" s="55"/>
    </row>
    <row r="810" ht="14.25" customHeight="1">
      <c r="G810" s="55"/>
    </row>
    <row r="811" ht="14.25" customHeight="1">
      <c r="G811" s="55"/>
    </row>
    <row r="812" ht="14.25" customHeight="1">
      <c r="G812" s="55"/>
    </row>
    <row r="813" ht="14.25" customHeight="1">
      <c r="G813" s="55"/>
    </row>
    <row r="814" ht="14.25" customHeight="1">
      <c r="G814" s="55"/>
    </row>
    <row r="815" ht="14.25" customHeight="1">
      <c r="G815" s="55"/>
    </row>
    <row r="816" ht="14.25" customHeight="1">
      <c r="G816" s="55"/>
    </row>
    <row r="817" ht="14.25" customHeight="1">
      <c r="G817" s="55"/>
    </row>
    <row r="818" ht="14.25" customHeight="1">
      <c r="G818" s="55"/>
    </row>
    <row r="819" ht="14.25" customHeight="1">
      <c r="G819" s="55"/>
    </row>
    <row r="820" ht="14.25" customHeight="1">
      <c r="G820" s="55"/>
    </row>
    <row r="821" ht="14.25" customHeight="1">
      <c r="G821" s="55"/>
    </row>
    <row r="822" ht="14.25" customHeight="1">
      <c r="G822" s="55"/>
    </row>
    <row r="823" ht="14.25" customHeight="1">
      <c r="G823" s="55"/>
    </row>
    <row r="824" ht="14.25" customHeight="1">
      <c r="G824" s="55"/>
    </row>
    <row r="825" ht="14.25" customHeight="1">
      <c r="G825" s="55"/>
    </row>
    <row r="826" ht="14.25" customHeight="1">
      <c r="G826" s="55"/>
    </row>
    <row r="827" ht="14.25" customHeight="1">
      <c r="G827" s="55"/>
    </row>
    <row r="828" ht="14.25" customHeight="1">
      <c r="G828" s="55"/>
    </row>
    <row r="829" ht="14.25" customHeight="1">
      <c r="G829" s="55"/>
    </row>
    <row r="830" ht="14.25" customHeight="1">
      <c r="G830" s="55"/>
    </row>
    <row r="831" ht="14.25" customHeight="1">
      <c r="G831" s="55"/>
    </row>
    <row r="832" ht="14.25" customHeight="1">
      <c r="G832" s="55"/>
    </row>
    <row r="833" ht="14.25" customHeight="1">
      <c r="G833" s="55"/>
    </row>
    <row r="834" ht="14.25" customHeight="1">
      <c r="G834" s="55"/>
    </row>
    <row r="835" ht="14.25" customHeight="1">
      <c r="G835" s="55"/>
    </row>
    <row r="836" ht="14.25" customHeight="1">
      <c r="G836" s="55"/>
    </row>
    <row r="837" ht="14.25" customHeight="1">
      <c r="G837" s="55"/>
    </row>
    <row r="838" ht="14.25" customHeight="1">
      <c r="G838" s="55"/>
    </row>
    <row r="839" ht="14.25" customHeight="1">
      <c r="G839" s="55"/>
    </row>
    <row r="840" ht="14.25" customHeight="1">
      <c r="G840" s="55"/>
    </row>
    <row r="841" ht="14.25" customHeight="1">
      <c r="G841" s="55"/>
    </row>
    <row r="842" ht="14.25" customHeight="1">
      <c r="G842" s="55"/>
    </row>
    <row r="843" ht="14.25" customHeight="1">
      <c r="G843" s="55"/>
    </row>
    <row r="844" ht="14.25" customHeight="1">
      <c r="G844" s="55"/>
    </row>
    <row r="845" ht="14.25" customHeight="1">
      <c r="G845" s="55"/>
    </row>
    <row r="846" ht="14.25" customHeight="1">
      <c r="G846" s="55"/>
    </row>
    <row r="847" ht="14.25" customHeight="1">
      <c r="G847" s="55"/>
    </row>
    <row r="848" ht="14.25" customHeight="1">
      <c r="G848" s="55"/>
    </row>
    <row r="849" ht="14.25" customHeight="1">
      <c r="G849" s="55"/>
    </row>
    <row r="850" ht="14.25" customHeight="1">
      <c r="G850" s="55"/>
    </row>
    <row r="851" ht="14.25" customHeight="1">
      <c r="G851" s="55"/>
    </row>
    <row r="852" ht="14.25" customHeight="1">
      <c r="G852" s="55"/>
    </row>
    <row r="853" ht="14.25" customHeight="1">
      <c r="G853" s="55"/>
    </row>
    <row r="854" ht="14.25" customHeight="1">
      <c r="G854" s="55"/>
    </row>
    <row r="855" ht="14.25" customHeight="1">
      <c r="G855" s="55"/>
    </row>
    <row r="856" ht="14.25" customHeight="1">
      <c r="G856" s="55"/>
    </row>
    <row r="857" ht="14.25" customHeight="1">
      <c r="G857" s="55"/>
    </row>
    <row r="858" ht="14.25" customHeight="1">
      <c r="G858" s="55"/>
    </row>
    <row r="859" ht="14.25" customHeight="1">
      <c r="G859" s="55"/>
    </row>
    <row r="860" ht="14.25" customHeight="1">
      <c r="G860" s="55"/>
    </row>
    <row r="861" ht="14.25" customHeight="1">
      <c r="G861" s="55"/>
    </row>
    <row r="862" ht="14.25" customHeight="1">
      <c r="G862" s="55"/>
    </row>
    <row r="863" ht="14.25" customHeight="1">
      <c r="G863" s="55"/>
    </row>
    <row r="864" ht="14.25" customHeight="1">
      <c r="G864" s="55"/>
    </row>
    <row r="865" ht="14.25" customHeight="1">
      <c r="G865" s="55"/>
    </row>
    <row r="866" ht="14.25" customHeight="1">
      <c r="G866" s="55"/>
    </row>
    <row r="867" ht="14.25" customHeight="1">
      <c r="G867" s="55"/>
    </row>
    <row r="868" ht="14.25" customHeight="1">
      <c r="G868" s="55"/>
    </row>
    <row r="869" ht="14.25" customHeight="1">
      <c r="G869" s="55"/>
    </row>
    <row r="870" ht="14.25" customHeight="1">
      <c r="G870" s="55"/>
    </row>
    <row r="871" ht="14.25" customHeight="1">
      <c r="G871" s="55"/>
    </row>
    <row r="872" ht="14.25" customHeight="1">
      <c r="G872" s="55"/>
    </row>
    <row r="873" ht="14.25" customHeight="1">
      <c r="G873" s="55"/>
    </row>
    <row r="874" ht="14.25" customHeight="1">
      <c r="G874" s="55"/>
    </row>
    <row r="875" ht="14.25" customHeight="1">
      <c r="G875" s="55"/>
    </row>
    <row r="876" ht="14.25" customHeight="1">
      <c r="G876" s="55"/>
    </row>
    <row r="877" ht="14.25" customHeight="1">
      <c r="G877" s="55"/>
    </row>
    <row r="878" ht="14.25" customHeight="1">
      <c r="G878" s="55"/>
    </row>
    <row r="879" ht="14.25" customHeight="1">
      <c r="G879" s="55"/>
    </row>
    <row r="880" ht="14.25" customHeight="1">
      <c r="G880" s="55"/>
    </row>
    <row r="881" ht="14.25" customHeight="1">
      <c r="G881" s="55"/>
    </row>
    <row r="882" ht="14.25" customHeight="1">
      <c r="G882" s="55"/>
    </row>
    <row r="883" ht="14.25" customHeight="1">
      <c r="G883" s="55"/>
    </row>
    <row r="884" ht="14.25" customHeight="1">
      <c r="G884" s="55"/>
    </row>
    <row r="885" ht="14.25" customHeight="1">
      <c r="G885" s="55"/>
    </row>
    <row r="886" ht="14.25" customHeight="1">
      <c r="G886" s="55"/>
    </row>
    <row r="887" ht="14.25" customHeight="1">
      <c r="G887" s="55"/>
    </row>
    <row r="888" ht="14.25" customHeight="1">
      <c r="G888" s="55"/>
    </row>
    <row r="889" ht="14.25" customHeight="1">
      <c r="G889" s="55"/>
    </row>
    <row r="890" ht="14.25" customHeight="1">
      <c r="G890" s="55"/>
    </row>
    <row r="891" ht="14.25" customHeight="1">
      <c r="G891" s="55"/>
    </row>
    <row r="892" ht="14.25" customHeight="1">
      <c r="G892" s="55"/>
    </row>
    <row r="893" ht="14.25" customHeight="1">
      <c r="G893" s="55"/>
    </row>
    <row r="894" ht="14.25" customHeight="1">
      <c r="G894" s="55"/>
    </row>
    <row r="895" ht="14.25" customHeight="1">
      <c r="G895" s="55"/>
    </row>
    <row r="896" ht="14.25" customHeight="1">
      <c r="G896" s="55"/>
    </row>
    <row r="897" ht="14.25" customHeight="1">
      <c r="G897" s="55"/>
    </row>
    <row r="898" ht="14.25" customHeight="1">
      <c r="G898" s="55"/>
    </row>
    <row r="899" ht="14.25" customHeight="1">
      <c r="G899" s="55"/>
    </row>
    <row r="900" ht="14.25" customHeight="1">
      <c r="G900" s="55"/>
    </row>
    <row r="901" ht="14.25" customHeight="1">
      <c r="G901" s="55"/>
    </row>
    <row r="902" ht="14.25" customHeight="1">
      <c r="G902" s="55"/>
    </row>
    <row r="903" ht="14.25" customHeight="1">
      <c r="G903" s="55"/>
    </row>
    <row r="904" ht="14.25" customHeight="1">
      <c r="G904" s="55"/>
    </row>
    <row r="905" ht="14.25" customHeight="1">
      <c r="G905" s="55"/>
    </row>
    <row r="906" ht="14.25" customHeight="1">
      <c r="G906" s="55"/>
    </row>
    <row r="907" ht="14.25" customHeight="1">
      <c r="G907" s="55"/>
    </row>
    <row r="908" ht="14.25" customHeight="1">
      <c r="G908" s="55"/>
    </row>
    <row r="909" ht="14.25" customHeight="1">
      <c r="G909" s="55"/>
    </row>
  </sheetData>
  <mergeCells count="5">
    <mergeCell ref="F6:G6"/>
    <mergeCell ref="F8:G8"/>
    <mergeCell ref="B10:B13"/>
    <mergeCell ref="B16:B19"/>
    <mergeCell ref="B21:B22"/>
  </mergeCells>
  <conditionalFormatting sqref="C1">
    <cfRule type="notContainsBlanks" dxfId="8" priority="1">
      <formula>LEN(TRIM(C1))&gt;0</formula>
    </cfRule>
  </conditionalFormatting>
  <dataValidations>
    <dataValidation type="list" allowBlank="1" sqref="C36">
      <formula1>"Gross Margin,Net Margin"</formula1>
    </dataValidation>
    <dataValidation type="list" allowBlank="1" sqref="C3">
      <formula1>"Nómina,Prestación de Servicios,Deel/Ontop"</formula1>
    </dataValidation>
    <dataValidation type="list" allowBlank="1" showErrorMessage="1" sqref="D25:D32">
      <formula1>"Nómina,P. Servicios"</formula1>
    </dataValidation>
    <dataValidation type="list" allowBlank="1" sqref="B25:B32">
      <formula1>'Parámetros'!$A$2:$A$113</formula1>
    </dataValidation>
    <dataValidation type="list" allowBlank="1" sqref="C2">
      <formula1>'Parámetros'!$A$118:$A$123</formula1>
    </dataValidation>
    <dataValidation type="list" allowBlank="1" sqref="D36">
      <formula1>"COP,USD"</formula1>
    </dataValidation>
  </dataValidations>
  <printOptions/>
  <pageMargins bottom="0.75" footer="0.0" header="0.0" left="0.7" right="0.7" top="0.75"/>
  <pageSetup orientation="portrait"/>
  <drawing r:id="rId1"/>
  <tableParts count="3">
    <tablePart r:id="rId5"/>
    <tablePart r:id="rId6"/>
    <tablePart r:id="rId7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4.14"/>
    <col customWidth="1" min="2" max="2" width="38.43"/>
    <col customWidth="1" min="3" max="3" width="23.14"/>
    <col customWidth="1" min="4" max="4" width="16.29"/>
    <col customWidth="1" min="5" max="5" width="14.86"/>
    <col customWidth="1" min="6" max="6" width="18.0"/>
    <col customWidth="1" min="7" max="7" width="16.29"/>
    <col customWidth="1" min="8" max="8" width="15.14"/>
    <col customWidth="1" min="9" max="9" width="18.29"/>
    <col customWidth="1" min="10" max="10" width="26.57"/>
    <col customWidth="1" min="11" max="11" width="14.86"/>
    <col customWidth="1" min="12" max="12" width="14.71"/>
    <col customWidth="1" min="13" max="13" width="17.29"/>
    <col customWidth="1" min="14" max="14" width="15.57"/>
    <col customWidth="1" min="15" max="15" width="10.71"/>
    <col customWidth="1" min="16" max="16" width="23.14"/>
    <col customWidth="1" min="17" max="17" width="17.57"/>
    <col customWidth="1" min="18" max="18" width="15.71"/>
    <col customWidth="1" min="19" max="19" width="18.86"/>
    <col customWidth="1" hidden="1" min="20" max="20" width="13.71"/>
    <col customWidth="1" hidden="1" min="21" max="21" width="13.43"/>
    <col customWidth="1" hidden="1" min="22" max="32" width="10.71"/>
  </cols>
  <sheetData>
    <row r="1" ht="8.25" customHeight="1">
      <c r="A1" s="200"/>
      <c r="B1" s="200"/>
      <c r="C1" s="200"/>
      <c r="D1" s="200"/>
      <c r="E1" s="200"/>
      <c r="F1" s="200"/>
      <c r="G1" s="201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</row>
    <row r="2" ht="15.75" customHeight="1">
      <c r="A2" s="200"/>
      <c r="B2" s="202" t="s">
        <v>150</v>
      </c>
      <c r="C2" s="203" t="s">
        <v>94</v>
      </c>
      <c r="D2" s="16"/>
      <c r="E2" s="200"/>
      <c r="F2" s="200"/>
      <c r="G2" s="205"/>
      <c r="H2" s="206"/>
      <c r="I2" s="206"/>
      <c r="J2" s="207"/>
      <c r="K2" s="206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0"/>
      <c r="AD2" s="200"/>
      <c r="AE2" s="200"/>
      <c r="AF2" s="200"/>
    </row>
    <row r="3" ht="15.75" customHeight="1">
      <c r="A3" s="200"/>
      <c r="B3" s="202" t="s">
        <v>25</v>
      </c>
      <c r="C3" s="208" t="s">
        <v>41</v>
      </c>
      <c r="D3" s="16"/>
      <c r="E3" s="200"/>
      <c r="F3" s="209"/>
      <c r="G3" s="210"/>
      <c r="H3" s="200"/>
      <c r="I3" s="200"/>
      <c r="J3" s="211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200"/>
    </row>
    <row r="4" ht="15.75" customHeight="1">
      <c r="A4" s="200"/>
      <c r="B4" s="202" t="s">
        <v>27</v>
      </c>
      <c r="C4" s="212">
        <f>VLOOKUP(C2,'Parámetros'!$A$118:$B$124,2,0)*IF(C3="Nómina",1.38522,IF(C3="Prestación de Servicios",1,1.15))</f>
        <v>0.138522</v>
      </c>
      <c r="D4" s="16"/>
      <c r="E4" s="200"/>
      <c r="H4" s="200"/>
      <c r="I4" s="200"/>
      <c r="J4" s="211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</row>
    <row r="5" ht="15.75" customHeight="1">
      <c r="A5" s="200"/>
      <c r="B5" s="202" t="s">
        <v>28</v>
      </c>
      <c r="C5" s="218">
        <v>0.0</v>
      </c>
      <c r="D5" s="16"/>
      <c r="F5" s="219" t="s">
        <v>155</v>
      </c>
      <c r="G5" s="220">
        <f>VLOOKUP($C$2,'Parámetros'!$A$118:$D$124,3,0)</f>
        <v>0.4</v>
      </c>
      <c r="I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</row>
    <row r="6" ht="15.75" customHeight="1">
      <c r="A6" s="200"/>
      <c r="B6" s="202" t="s">
        <v>156</v>
      </c>
      <c r="C6" s="218">
        <f>IF(C2="Enterprise",1,0)</f>
        <v>0</v>
      </c>
      <c r="D6" s="16"/>
      <c r="F6" s="221" t="str">
        <f>IF(D11&gt;=G5,"Dentro del margen","¡Por debajo del margen!")</f>
        <v>Dentro del margen</v>
      </c>
      <c r="I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0"/>
      <c r="AA6" s="200"/>
      <c r="AB6" s="200"/>
      <c r="AC6" s="200"/>
      <c r="AD6" s="200"/>
      <c r="AE6" s="200"/>
      <c r="AF6" s="200"/>
    </row>
    <row r="7" ht="15.75" customHeight="1">
      <c r="A7" s="200"/>
      <c r="B7" s="202" t="s">
        <v>157</v>
      </c>
      <c r="C7" s="222"/>
      <c r="D7" s="204"/>
      <c r="E7" s="200"/>
      <c r="H7" s="200"/>
      <c r="I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  <c r="AA7" s="200"/>
      <c r="AB7" s="200"/>
      <c r="AC7" s="200"/>
      <c r="AD7" s="200"/>
      <c r="AE7" s="200"/>
      <c r="AF7" s="200"/>
    </row>
    <row r="8" ht="15.75" customHeight="1">
      <c r="A8" s="200"/>
      <c r="B8" s="202" t="s">
        <v>158</v>
      </c>
      <c r="C8" s="208">
        <v>1.0</v>
      </c>
      <c r="D8" s="16"/>
      <c r="E8" s="200"/>
      <c r="H8" s="223"/>
      <c r="I8" s="223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</row>
    <row r="9" ht="15.75" customHeight="1">
      <c r="A9" s="200"/>
      <c r="B9" s="224"/>
      <c r="C9" s="16"/>
      <c r="D9" s="16"/>
      <c r="E9" s="200"/>
      <c r="F9" s="202" t="s">
        <v>44</v>
      </c>
      <c r="G9" s="225" t="s">
        <v>45</v>
      </c>
      <c r="H9" s="223"/>
      <c r="I9" s="15" t="s">
        <v>116</v>
      </c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200"/>
      <c r="AC9" s="200"/>
      <c r="AD9" s="200"/>
      <c r="AE9" s="200"/>
      <c r="AF9" s="200"/>
    </row>
    <row r="10" ht="18.75" customHeight="1">
      <c r="B10" s="226" t="s">
        <v>7</v>
      </c>
      <c r="C10" s="17" t="s">
        <v>6</v>
      </c>
      <c r="D10" s="227">
        <f>F10*C4</f>
        <v>5965219.941</v>
      </c>
      <c r="E10" s="228" t="s">
        <v>159</v>
      </c>
      <c r="F10" s="229">
        <f>((C54+C50+C52)/((1-D11-'Parámetros'!L8*C5)))*IF(C6=1,102.4%,1)</f>
        <v>43063339.7</v>
      </c>
      <c r="G10" s="230">
        <f>F10/'Parámetros'!$L$3</f>
        <v>12130.51822</v>
      </c>
      <c r="I10" s="305">
        <f>F10/3</f>
        <v>14354446.57</v>
      </c>
      <c r="M10" s="23"/>
      <c r="N10" s="24"/>
      <c r="O10" s="24"/>
    </row>
    <row r="11" ht="18.75" customHeight="1">
      <c r="B11" s="27"/>
      <c r="C11" s="17" t="s">
        <v>9</v>
      </c>
      <c r="D11" s="231">
        <v>0.4</v>
      </c>
      <c r="E11" s="228" t="s">
        <v>160</v>
      </c>
      <c r="F11" s="229">
        <f>F10/C8</f>
        <v>43063339.7</v>
      </c>
      <c r="G11" s="230">
        <f>F11/'Parámetros'!$L$3</f>
        <v>12130.51822</v>
      </c>
      <c r="M11" s="23"/>
      <c r="N11" s="24"/>
      <c r="O11" s="24"/>
    </row>
    <row r="12" ht="18.75" customHeight="1">
      <c r="B12" s="27"/>
      <c r="C12" s="17" t="s">
        <v>15</v>
      </c>
      <c r="D12" s="227">
        <f>F10*'Parámetros'!L5</f>
        <v>297137.0439</v>
      </c>
      <c r="E12" s="228" t="s">
        <v>161</v>
      </c>
      <c r="F12" s="229">
        <f>F10/SUM(D39:D45)</f>
        <v>43106.44614</v>
      </c>
      <c r="G12" s="230">
        <f>G10/SUM(D39:D45)</f>
        <v>12.14266089</v>
      </c>
      <c r="L12" s="22"/>
      <c r="O12" s="28"/>
      <c r="P12" s="28"/>
      <c r="Q12" s="28"/>
    </row>
    <row r="13" ht="14.25" customHeight="1">
      <c r="B13" s="43"/>
      <c r="C13" s="17" t="s">
        <v>18</v>
      </c>
      <c r="D13" s="240">
        <f>(F10-C55-D12-D10-C5*'Parámetros'!L8*F10-IF(C6=1,2.4%,0))/F10</f>
        <v>0.06726152497</v>
      </c>
      <c r="F13" s="23"/>
      <c r="G13" s="55"/>
      <c r="L13" s="32"/>
      <c r="M13" s="33"/>
      <c r="O13" s="28"/>
      <c r="P13" s="28"/>
      <c r="Q13" s="28"/>
    </row>
    <row r="14" ht="14.25" customHeight="1">
      <c r="D14" s="235"/>
      <c r="F14" s="236"/>
      <c r="G14" s="55"/>
      <c r="H14" s="237"/>
      <c r="I14" s="237"/>
      <c r="J14" s="237"/>
      <c r="L14" s="32"/>
      <c r="M14" s="37"/>
      <c r="N14" s="38"/>
      <c r="O14" s="39"/>
    </row>
    <row r="15" ht="14.25" customHeight="1">
      <c r="F15" s="236"/>
      <c r="G15" s="55"/>
      <c r="L15" s="22"/>
    </row>
    <row r="16" ht="15.75" customHeight="1">
      <c r="B16" s="226" t="s">
        <v>22</v>
      </c>
      <c r="C16" s="17" t="s">
        <v>6</v>
      </c>
      <c r="D16" s="227">
        <f>F16*C4</f>
        <v>8468630.088</v>
      </c>
      <c r="E16" s="228" t="s">
        <v>159</v>
      </c>
      <c r="F16" s="229">
        <f>+(C55/(1-C4-D17-'Parámetros'!L5-C5*'Parámetros'!L8))</f>
        <v>61135632.52</v>
      </c>
      <c r="G16" s="230">
        <f>F16/'Parámetros'!L3</f>
        <v>17221.30494</v>
      </c>
      <c r="L16" s="22"/>
    </row>
    <row r="17" ht="16.5" customHeight="1">
      <c r="B17" s="27"/>
      <c r="C17" s="17" t="s">
        <v>18</v>
      </c>
      <c r="D17" s="231">
        <v>0.3</v>
      </c>
      <c r="E17" s="228" t="s">
        <v>160</v>
      </c>
      <c r="F17" s="229">
        <f>F16/C8</f>
        <v>61135632.52</v>
      </c>
      <c r="G17" s="230">
        <f>G16/C8</f>
        <v>17221.30494</v>
      </c>
      <c r="L17" s="32"/>
      <c r="M17" s="33"/>
    </row>
    <row r="18" ht="17.25" customHeight="1">
      <c r="B18" s="27"/>
      <c r="C18" s="17" t="s">
        <v>15</v>
      </c>
      <c r="D18" s="227">
        <f>F16*'Parámetros'!L5</f>
        <v>421835.8644</v>
      </c>
      <c r="E18" s="228" t="s">
        <v>161</v>
      </c>
      <c r="F18" s="229">
        <f>F16/SUM(D39:D45)</f>
        <v>61196.82935</v>
      </c>
      <c r="G18" s="230">
        <f>G16/SUM(D39:D45)</f>
        <v>17.23854348</v>
      </c>
      <c r="L18" s="22"/>
      <c r="M18" s="55"/>
    </row>
    <row r="19" ht="14.25" customHeight="1">
      <c r="B19" s="43"/>
      <c r="C19" s="17" t="s">
        <v>9</v>
      </c>
      <c r="D19" s="240">
        <f>((((F16-C50-C52-C54-C5*'Parámetros'!L8*F16))-(1-2.4%))/F16)</f>
        <v>0.5773658711</v>
      </c>
      <c r="E19" s="241"/>
      <c r="G19" s="55"/>
    </row>
    <row r="20" ht="14.25" customHeight="1">
      <c r="D20" s="55"/>
      <c r="E20" s="23"/>
      <c r="F20" s="242"/>
      <c r="G20" s="55"/>
    </row>
    <row r="21" ht="14.25" customHeight="1">
      <c r="B21" s="243" t="str">
        <f>'Parámetros'!B149</f>
        <v>Considerar como mínimo por cada Dev: 
 PM:33%, QA:20%, Diseño:10%</v>
      </c>
      <c r="C21" s="244"/>
      <c r="G21" s="55"/>
      <c r="M21" s="245"/>
    </row>
    <row r="22" ht="15.75" customHeight="1">
      <c r="B22" s="246"/>
      <c r="C22" s="244"/>
      <c r="G22" s="55"/>
    </row>
    <row r="23" ht="15.75" customHeight="1">
      <c r="E23" s="247">
        <f>SUM(E25:E32)</f>
        <v>5.55</v>
      </c>
      <c r="G23" s="248"/>
    </row>
    <row r="24" ht="14.25" customHeight="1">
      <c r="B24" s="249" t="s">
        <v>31</v>
      </c>
      <c r="C24" s="249" t="s">
        <v>32</v>
      </c>
      <c r="D24" s="249" t="s">
        <v>33</v>
      </c>
      <c r="E24" s="250" t="s">
        <v>35</v>
      </c>
      <c r="F24" s="250" t="s">
        <v>164</v>
      </c>
      <c r="G24" s="250" t="s">
        <v>165</v>
      </c>
      <c r="H24" s="250" t="s">
        <v>37</v>
      </c>
      <c r="I24" s="146"/>
      <c r="J24" s="146"/>
      <c r="L24" s="67"/>
    </row>
    <row r="25" ht="14.25" customHeight="1">
      <c r="A25" s="251">
        <f>IFERROR(__xludf.DUMMYFUNCTION("COUNTIF(SPLIT(B25,"" ""),""Developer"")"),1.0)</f>
        <v>1</v>
      </c>
      <c r="B25" s="252" t="s">
        <v>79</v>
      </c>
      <c r="C25" s="68">
        <f>IFERROR(VLOOKUP(B25,'Parámetros'!A$1:B113,2, FALSE),"")</f>
        <v>5000000</v>
      </c>
      <c r="D25" s="208" t="s">
        <v>41</v>
      </c>
      <c r="E25" s="253">
        <f>100%*3</f>
        <v>3</v>
      </c>
      <c r="F25" s="68">
        <f t="shared" ref="F25:F32" si="1">+IFERROR(IF(D25="Nómina",C25*1.38352,C25),"")*E25*105%</f>
        <v>21790440</v>
      </c>
      <c r="G25" s="68">
        <f t="shared" ref="G25:G32" si="2">F25*C$8</f>
        <v>21790440</v>
      </c>
      <c r="H25" s="254">
        <f>F25/(AVERAGE('Parámetros'!$F$5:$F$6)+$F$33)</f>
        <v>0.06125259795</v>
      </c>
      <c r="I25" s="146"/>
      <c r="J25" s="146"/>
      <c r="L25" s="73"/>
    </row>
    <row r="26" ht="14.25" customHeight="1">
      <c r="A26" s="251">
        <f>IFERROR(__xludf.DUMMYFUNCTION("COUNTIF(SPLIT(B26,"" ""),""Developer"")"),0.0)</f>
        <v>0</v>
      </c>
      <c r="B26" s="255" t="s">
        <v>43</v>
      </c>
      <c r="C26" s="68" t="str">
        <f>IFERROR(VLOOKUP(B26,'Parámetros'!A$1:B113,2, FALSE),"")</f>
        <v/>
      </c>
      <c r="D26" s="208" t="s">
        <v>41</v>
      </c>
      <c r="E26" s="256">
        <v>2.0</v>
      </c>
      <c r="F26" s="68">
        <f t="shared" si="1"/>
        <v>0</v>
      </c>
      <c r="G26" s="68">
        <f t="shared" si="2"/>
        <v>0</v>
      </c>
      <c r="H26" s="254">
        <f>G26/(AVERAGE('Parámetros'!$F$5:$F$6)+$F$33)</f>
        <v>0</v>
      </c>
      <c r="I26" s="146"/>
      <c r="J26" s="146"/>
      <c r="L26" s="73"/>
      <c r="R26" s="74"/>
    </row>
    <row r="27" ht="14.25" customHeight="1">
      <c r="A27" s="251">
        <f>IFERROR(__xludf.DUMMYFUNCTION("COUNTIF(SPLIT(B27,"" ""),""Developer"")"),0.0)</f>
        <v>0</v>
      </c>
      <c r="B27" s="255" t="s">
        <v>183</v>
      </c>
      <c r="C27" s="68" t="str">
        <f>IFERROR(VLOOKUP(B27,'Parámetros'!A$1:B113,2, FALSE),"")</f>
        <v/>
      </c>
      <c r="D27" s="208" t="s">
        <v>41</v>
      </c>
      <c r="E27" s="256">
        <v>0.4</v>
      </c>
      <c r="F27" s="68">
        <f t="shared" si="1"/>
        <v>0</v>
      </c>
      <c r="G27" s="68">
        <f t="shared" si="2"/>
        <v>0</v>
      </c>
      <c r="H27" s="254">
        <f>G27/(AVERAGE('Parámetros'!$F$5:$F$6)+$F$33)</f>
        <v>0</v>
      </c>
      <c r="I27" s="146"/>
      <c r="J27" s="146"/>
      <c r="L27" s="73"/>
    </row>
    <row r="28" ht="14.25" customHeight="1">
      <c r="A28" s="251">
        <f>IFERROR(__xludf.DUMMYFUNCTION("COUNTIF(SPLIT(B28,"" ""),""Developer"")"),0.0)</f>
        <v>0</v>
      </c>
      <c r="B28" s="255" t="s">
        <v>184</v>
      </c>
      <c r="C28" s="68" t="str">
        <f>IFERROR(VLOOKUP(B28,'Parámetros'!A$1:B114,2, FALSE),"")</f>
        <v/>
      </c>
      <c r="D28" s="208" t="s">
        <v>41</v>
      </c>
      <c r="E28" s="257">
        <v>0.15</v>
      </c>
      <c r="F28" s="68">
        <f t="shared" si="1"/>
        <v>0</v>
      </c>
      <c r="G28" s="68">
        <f t="shared" si="2"/>
        <v>0</v>
      </c>
      <c r="H28" s="254">
        <f>G28/(AVERAGE('Parámetros'!$F$5:$F$6)+$F$33)</f>
        <v>0</v>
      </c>
      <c r="I28" s="146"/>
      <c r="J28" s="146"/>
      <c r="L28" s="73"/>
    </row>
    <row r="29" ht="14.25" customHeight="1">
      <c r="A29" s="251">
        <f>IFERROR(__xludf.DUMMYFUNCTION("COUNTIF(SPLIT(B29,"" ""),""Developer"")"),0.0)</f>
        <v>0</v>
      </c>
      <c r="B29" s="255"/>
      <c r="C29" s="68" t="str">
        <f>IFERROR(VLOOKUP(B29,'Parámetros'!A$1:B115,2, FALSE),"")</f>
        <v/>
      </c>
      <c r="D29" s="208" t="s">
        <v>41</v>
      </c>
      <c r="E29" s="256"/>
      <c r="F29" s="68">
        <f t="shared" si="1"/>
        <v>0</v>
      </c>
      <c r="G29" s="68">
        <f t="shared" si="2"/>
        <v>0</v>
      </c>
      <c r="H29" s="254">
        <f>G29/(AVERAGE('Parámetros'!$F$5:$F$6)+$F$33)</f>
        <v>0</v>
      </c>
      <c r="I29" s="146"/>
      <c r="J29" s="146"/>
      <c r="L29" s="73"/>
    </row>
    <row r="30" ht="14.25" customHeight="1">
      <c r="A30" s="251">
        <f>IFERROR(__xludf.DUMMYFUNCTION("COUNTIF(SPLIT(B30,"" ""),""Developer"")"),0.0)</f>
        <v>0</v>
      </c>
      <c r="B30" s="304"/>
      <c r="C30" s="68" t="str">
        <f>IFERROR(VLOOKUP(B30,'Parámetros'!A$1:B116,2, FALSE),"")</f>
        <v/>
      </c>
      <c r="D30" s="208" t="s">
        <v>41</v>
      </c>
      <c r="E30" s="258"/>
      <c r="F30" s="68">
        <f t="shared" si="1"/>
        <v>0</v>
      </c>
      <c r="G30" s="68">
        <f t="shared" si="2"/>
        <v>0</v>
      </c>
      <c r="H30" s="254">
        <f>G30/(AVERAGE('Parámetros'!$F$5:$F$6)+$F$33)</f>
        <v>0</v>
      </c>
      <c r="I30" s="146"/>
      <c r="J30" s="146"/>
      <c r="K30" s="146"/>
    </row>
    <row r="31" ht="14.25" customHeight="1">
      <c r="A31" s="251">
        <f>IFERROR(__xludf.DUMMYFUNCTION("COUNTIF(SPLIT(B31,"" ""),""Developer"")"),0.0)</f>
        <v>0</v>
      </c>
      <c r="B31" s="304"/>
      <c r="C31" s="68" t="str">
        <f>IFERROR(VLOOKUP(B31,'Parámetros'!A$1:B117,2, FALSE),"")</f>
        <v/>
      </c>
      <c r="D31" s="208" t="s">
        <v>41</v>
      </c>
      <c r="E31" s="258"/>
      <c r="F31" s="68">
        <f t="shared" si="1"/>
        <v>0</v>
      </c>
      <c r="G31" s="68">
        <f t="shared" si="2"/>
        <v>0</v>
      </c>
      <c r="H31" s="254">
        <f>G31/(AVERAGE('Parámetros'!$F$5:$F$6)+$F$33)</f>
        <v>0</v>
      </c>
      <c r="I31" s="146"/>
      <c r="J31" s="146"/>
      <c r="K31" s="146"/>
    </row>
    <row r="32" ht="14.25" customHeight="1">
      <c r="A32" s="251">
        <f>IFERROR(__xludf.DUMMYFUNCTION("COUNTIF(SPLIT(B32,"" ""),""Developer"")"),0.0)</f>
        <v>0</v>
      </c>
      <c r="B32" s="304"/>
      <c r="C32" s="68" t="str">
        <f>iferror(VLOOKUP(B32,'Parámetros'!A$1:B127,2, FALSE),"")</f>
        <v/>
      </c>
      <c r="D32" s="208" t="s">
        <v>41</v>
      </c>
      <c r="E32" s="258"/>
      <c r="F32" s="68">
        <f t="shared" si="1"/>
        <v>0</v>
      </c>
      <c r="G32" s="68">
        <f t="shared" si="2"/>
        <v>0</v>
      </c>
      <c r="H32" s="254">
        <f>G32/(AVERAGE('Parámetros'!$F$5:$F$6)+$F$33)</f>
        <v>0</v>
      </c>
      <c r="I32" s="146"/>
      <c r="J32" s="146"/>
      <c r="K32" s="146"/>
    </row>
    <row r="33" ht="14.25" customHeight="1">
      <c r="F33" s="259">
        <f t="shared" ref="F33:H33" si="3">SUM(F25:F32)</f>
        <v>21790440</v>
      </c>
      <c r="G33" s="259">
        <f t="shared" si="3"/>
        <v>21790440</v>
      </c>
      <c r="H33" s="260">
        <f t="shared" si="3"/>
        <v>0.06125259795</v>
      </c>
      <c r="M33" s="90"/>
      <c r="N33" s="91"/>
      <c r="O33" s="92"/>
      <c r="P33" s="93"/>
      <c r="Q33" s="94"/>
    </row>
    <row r="34" ht="14.25" customHeight="1">
      <c r="G34" s="55"/>
    </row>
    <row r="35" ht="14.25" customHeight="1">
      <c r="G35" s="55"/>
    </row>
    <row r="36" ht="14.25" customHeight="1">
      <c r="C36" s="261" t="s">
        <v>9</v>
      </c>
      <c r="D36" s="261" t="s">
        <v>45</v>
      </c>
      <c r="G36" s="55"/>
    </row>
    <row r="37" ht="14.25" customHeight="1">
      <c r="F37" s="97"/>
      <c r="G37" s="55"/>
    </row>
    <row r="38" ht="14.25" customHeight="1">
      <c r="B38" s="262" t="s">
        <v>31</v>
      </c>
      <c r="C38" s="261" t="s">
        <v>35</v>
      </c>
      <c r="D38" s="291" t="s">
        <v>48</v>
      </c>
      <c r="E38" s="292" t="s">
        <v>50</v>
      </c>
      <c r="F38" s="292" t="s">
        <v>159</v>
      </c>
      <c r="G38" s="55"/>
    </row>
    <row r="39" ht="14.25" customHeight="1">
      <c r="B39" s="264" t="str">
        <f t="shared" ref="B39:B45" si="4">B25</f>
        <v>Software Developer Semi Senior Nivel 1</v>
      </c>
      <c r="C39" s="265">
        <f t="shared" ref="C39:C45" si="5">E25</f>
        <v>3</v>
      </c>
      <c r="D39" s="268">
        <f t="shared" ref="D39:D45" si="6">C39*180</f>
        <v>540</v>
      </c>
      <c r="E39" s="267">
        <f>IFERROR((IF($C$36="Gross Margin",F25/$F$33*$F$10,IF($C$36="Net Margin",F25/$F$33*$F$16,"Error")))/D39,"")/IF($D$36="USD",'Parámetros'!$L$3,1)</f>
        <v>22.46392264</v>
      </c>
      <c r="F39" s="267">
        <f t="shared" ref="F39:F45" si="7">E39*D39</f>
        <v>12130.51822</v>
      </c>
      <c r="G39" s="55"/>
    </row>
    <row r="40" ht="14.25" customHeight="1">
      <c r="B40" s="264" t="str">
        <f t="shared" si="4"/>
        <v>Diseñador Junior</v>
      </c>
      <c r="C40" s="265">
        <f t="shared" si="5"/>
        <v>2</v>
      </c>
      <c r="D40" s="268">
        <f t="shared" si="6"/>
        <v>360</v>
      </c>
      <c r="E40" s="267">
        <f>IFERROR((IF($C$36="Gross Margin",F26/$F$33*$F$10,IF($C$36="Net Margin",F26/$F$33*$F$16,"Error")))/D40,"")/IF($D$36="USD",'Parámetros'!$L$3,1)</f>
        <v>0</v>
      </c>
      <c r="F40" s="267">
        <f t="shared" si="7"/>
        <v>0</v>
      </c>
      <c r="G40" s="55"/>
    </row>
    <row r="41" ht="14.25" customHeight="1">
      <c r="B41" s="264" t="str">
        <f t="shared" si="4"/>
        <v>Maria Paula Giraldo Castiblanco</v>
      </c>
      <c r="C41" s="265">
        <f t="shared" si="5"/>
        <v>0.4</v>
      </c>
      <c r="D41" s="268">
        <f t="shared" si="6"/>
        <v>72</v>
      </c>
      <c r="E41" s="267">
        <f>IFERROR((IF($C$36="Gross Margin",F27/$F$33*$F$10,IF($C$36="Net Margin",F27/$F$33*$F$16,"Error")))/D41,"")/IF($D$36="USD",'Parámetros'!$L$3,1)</f>
        <v>0</v>
      </c>
      <c r="F41" s="267">
        <f t="shared" si="7"/>
        <v>0</v>
      </c>
      <c r="G41" s="23"/>
    </row>
    <row r="42" ht="14.25" customHeight="1">
      <c r="B42" s="264" t="str">
        <f t="shared" si="4"/>
        <v>QA Engineer Junior</v>
      </c>
      <c r="C42" s="265">
        <f t="shared" si="5"/>
        <v>0.15</v>
      </c>
      <c r="D42" s="268">
        <f t="shared" si="6"/>
        <v>27</v>
      </c>
      <c r="E42" s="267">
        <f>IFERROR((IF($C$36="Gross Margin",F28/$F$33*$F$10,IF($C$36="Net Margin",F28/$F$33*$F$16,"Error")))/D42,"")/IF($D$36="USD",'Parámetros'!$L$3,1)</f>
        <v>0</v>
      </c>
      <c r="F42" s="267">
        <f t="shared" si="7"/>
        <v>0</v>
      </c>
      <c r="G42" s="23"/>
    </row>
    <row r="43" ht="14.25" customHeight="1">
      <c r="B43" s="264" t="str">
        <f t="shared" si="4"/>
        <v/>
      </c>
      <c r="C43" s="265" t="str">
        <f t="shared" si="5"/>
        <v/>
      </c>
      <c r="D43" s="268">
        <f t="shared" si="6"/>
        <v>0</v>
      </c>
      <c r="E43" s="267">
        <f>IFERROR((IF($C$36="Gross Margin",F29/$F$33*$F$10,IF($C$36="Net Margin",F29/$F$33*$F$16,"Error")))/D43,"")/IF($D$36="USD",'Parámetros'!$L$3,1)</f>
        <v>0</v>
      </c>
      <c r="F43" s="267">
        <f t="shared" si="7"/>
        <v>0</v>
      </c>
      <c r="G43" s="55"/>
    </row>
    <row r="44" ht="14.25" customHeight="1">
      <c r="B44" s="264" t="str">
        <f t="shared" si="4"/>
        <v/>
      </c>
      <c r="C44" s="265" t="str">
        <f t="shared" si="5"/>
        <v/>
      </c>
      <c r="D44" s="268">
        <f t="shared" si="6"/>
        <v>0</v>
      </c>
      <c r="E44" s="267">
        <f>IFERROR((IF($C$36="Gross Margin",F30/$F$33*$F$10,IF($C$36="Net Margin",F30/$F$33*$F$16,"Error")))/D44,"")/IF($D$36="USD",'Parámetros'!$L$3,1)</f>
        <v>0</v>
      </c>
      <c r="F44" s="267">
        <f t="shared" si="7"/>
        <v>0</v>
      </c>
      <c r="G44" s="55"/>
    </row>
    <row r="45" ht="14.25" customHeight="1">
      <c r="B45" s="264" t="str">
        <f t="shared" si="4"/>
        <v/>
      </c>
      <c r="C45" s="265" t="str">
        <f t="shared" si="5"/>
        <v/>
      </c>
      <c r="D45" s="268">
        <f t="shared" si="6"/>
        <v>0</v>
      </c>
      <c r="E45" s="267">
        <f>IFERROR((IF($C$36="Gross Margin",F31/$F$33*$F$10,IF($C$36="Net Margin",F31/$F$33*$F$16,"Error")))/D45,"")/IF($D$36="USD",'Parámetros'!$L$3,1)</f>
        <v>0</v>
      </c>
      <c r="F45" s="267">
        <f t="shared" si="7"/>
        <v>0</v>
      </c>
      <c r="G45" s="55"/>
    </row>
    <row r="46" ht="14.25" customHeight="1">
      <c r="G46" s="55"/>
    </row>
    <row r="47" ht="14.25" customHeight="1">
      <c r="G47" s="55"/>
    </row>
    <row r="48" ht="14.25" customHeight="1">
      <c r="D48" s="271"/>
      <c r="E48" s="271"/>
      <c r="G48" s="55"/>
    </row>
    <row r="49" ht="14.25" customHeight="1">
      <c r="B49" s="272" t="s">
        <v>11</v>
      </c>
      <c r="C49" s="272" t="s">
        <v>52</v>
      </c>
      <c r="D49" s="273" t="s">
        <v>116</v>
      </c>
      <c r="E49" s="274"/>
      <c r="G49" s="55"/>
    </row>
    <row r="50" ht="14.25" customHeight="1" outlineLevel="1">
      <c r="A50" s="33"/>
      <c r="B50" s="275" t="s">
        <v>14</v>
      </c>
      <c r="C50" s="276">
        <f>G33</f>
        <v>21790440</v>
      </c>
      <c r="D50" s="276">
        <f t="shared" ref="D50:D55" si="8">C50/C$8</f>
        <v>21790440</v>
      </c>
      <c r="E50" s="277"/>
      <c r="F50" s="33"/>
      <c r="G50" s="37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</row>
    <row r="51" ht="14.25" customHeight="1" outlineLevel="1">
      <c r="A51" s="33"/>
      <c r="B51" s="278" t="s">
        <v>17</v>
      </c>
      <c r="C51" s="279">
        <f>C53+C54+C52</f>
        <v>12114036.81</v>
      </c>
      <c r="D51" s="279">
        <f t="shared" si="8"/>
        <v>12114036.81</v>
      </c>
      <c r="E51" s="277"/>
      <c r="F51" s="33"/>
      <c r="G51" s="37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</row>
    <row r="52" ht="14.25" customHeight="1" outlineLevel="1">
      <c r="B52" s="280" t="s">
        <v>19</v>
      </c>
      <c r="C52" s="70">
        <f>E23*5000000*9%*C8</f>
        <v>2497500</v>
      </c>
      <c r="D52" s="70">
        <f t="shared" si="8"/>
        <v>2497500</v>
      </c>
      <c r="E52" s="271"/>
      <c r="G52" s="55"/>
    </row>
    <row r="53" ht="14.25" customHeight="1" outlineLevel="1">
      <c r="B53" s="280" t="s">
        <v>20</v>
      </c>
      <c r="C53" s="281">
        <f>H33*AVERAGE('Parámetros'!G6:G7)*IF(C2="Network",15%,100%)*IF(C2="Enterprise",40%,100%)</f>
        <v>8066472.995</v>
      </c>
      <c r="D53" s="281">
        <f t="shared" si="8"/>
        <v>8066472.995</v>
      </c>
      <c r="E53" s="282"/>
      <c r="G53" s="55"/>
    </row>
    <row r="54" ht="14.25" customHeight="1" outlineLevel="1">
      <c r="B54" s="280" t="s">
        <v>21</v>
      </c>
      <c r="C54" s="70">
        <f>H33*AVERAGE('Parámetros'!H7)*IF(C2="Network",15%,100%)</f>
        <v>1550063.818</v>
      </c>
      <c r="D54" s="70">
        <f t="shared" si="8"/>
        <v>1550063.818</v>
      </c>
      <c r="E54" s="282"/>
      <c r="G54" s="55"/>
    </row>
    <row r="55" ht="14.25" customHeight="1">
      <c r="B55" s="283" t="s">
        <v>23</v>
      </c>
      <c r="C55" s="284">
        <f>C50+C51</f>
        <v>33904476.81</v>
      </c>
      <c r="D55" s="284">
        <f t="shared" si="8"/>
        <v>33904476.81</v>
      </c>
      <c r="E55" s="277"/>
      <c r="G55" s="55"/>
    </row>
    <row r="56" ht="14.25" customHeight="1">
      <c r="B56" s="285" t="s">
        <v>168</v>
      </c>
      <c r="C56" s="286">
        <f t="shared" ref="C56:D56" si="9">C50+C52+C54</f>
        <v>25838003.82</v>
      </c>
      <c r="D56" s="286">
        <f t="shared" si="9"/>
        <v>25838003.82</v>
      </c>
      <c r="E56" s="287"/>
      <c r="G56" s="55"/>
    </row>
    <row r="57">
      <c r="D57" s="271"/>
      <c r="E57" s="271"/>
      <c r="G57" s="55"/>
    </row>
    <row r="58" ht="14.25" customHeight="1">
      <c r="G58" s="55"/>
    </row>
    <row r="59" ht="14.25" customHeight="1">
      <c r="G59" s="55"/>
    </row>
    <row r="60" ht="14.25" customHeight="1">
      <c r="G60" s="55"/>
    </row>
    <row r="61" ht="14.25" customHeight="1">
      <c r="G61" s="55"/>
    </row>
    <row r="62" ht="14.25" customHeight="1">
      <c r="G62" s="55"/>
    </row>
    <row r="63" ht="14.25" customHeight="1">
      <c r="G63" s="55"/>
    </row>
    <row r="64" ht="14.25" customHeight="1">
      <c r="G64" s="55"/>
    </row>
    <row r="65" ht="14.25" customHeight="1">
      <c r="G65" s="55"/>
    </row>
    <row r="66" ht="14.25" customHeight="1">
      <c r="G66" s="55"/>
    </row>
    <row r="67" ht="14.25" customHeight="1">
      <c r="G67" s="55"/>
    </row>
    <row r="68" ht="14.25" customHeight="1">
      <c r="G68" s="55"/>
    </row>
    <row r="69" ht="14.25" customHeight="1">
      <c r="G69" s="55"/>
    </row>
    <row r="70" ht="14.25" customHeight="1">
      <c r="G70" s="55"/>
    </row>
    <row r="71" ht="14.25" customHeight="1">
      <c r="G71" s="55"/>
    </row>
    <row r="72" ht="14.25" customHeight="1">
      <c r="G72" s="55"/>
    </row>
    <row r="73" ht="14.25" customHeight="1">
      <c r="G73" s="55"/>
    </row>
    <row r="74" ht="14.25" customHeight="1">
      <c r="G74" s="55"/>
    </row>
    <row r="75" ht="14.25" customHeight="1">
      <c r="G75" s="55"/>
    </row>
    <row r="76" ht="14.25" customHeight="1">
      <c r="G76" s="55"/>
    </row>
    <row r="77" ht="14.25" customHeight="1">
      <c r="G77" s="55"/>
    </row>
    <row r="78" ht="14.25" customHeight="1">
      <c r="G78" s="55"/>
    </row>
    <row r="79" ht="14.25" customHeight="1">
      <c r="G79" s="55"/>
    </row>
    <row r="80" ht="14.25" customHeight="1">
      <c r="G80" s="55"/>
    </row>
    <row r="81" ht="14.25" customHeight="1">
      <c r="G81" s="55"/>
    </row>
    <row r="82" ht="14.25" customHeight="1">
      <c r="G82" s="55"/>
    </row>
    <row r="83" ht="14.25" customHeight="1">
      <c r="G83" s="55"/>
    </row>
    <row r="84" ht="14.25" customHeight="1">
      <c r="G84" s="55"/>
    </row>
    <row r="85" ht="14.25" customHeight="1">
      <c r="G85" s="55"/>
    </row>
    <row r="86" ht="14.25" customHeight="1">
      <c r="G86" s="55"/>
    </row>
    <row r="87" ht="14.25" customHeight="1">
      <c r="G87" s="55"/>
    </row>
    <row r="88" ht="14.25" customHeight="1">
      <c r="G88" s="55"/>
    </row>
    <row r="89" ht="14.25" customHeight="1">
      <c r="G89" s="55"/>
    </row>
    <row r="90" ht="14.25" customHeight="1">
      <c r="G90" s="55"/>
    </row>
    <row r="91" ht="14.25" customHeight="1">
      <c r="G91" s="55"/>
    </row>
    <row r="92" ht="14.25" customHeight="1">
      <c r="G92" s="55"/>
    </row>
    <row r="93" ht="14.25" customHeight="1">
      <c r="G93" s="55"/>
    </row>
    <row r="94" ht="14.25" customHeight="1">
      <c r="G94" s="55"/>
    </row>
    <row r="95" ht="14.25" customHeight="1">
      <c r="G95" s="55"/>
    </row>
    <row r="96" ht="14.25" customHeight="1">
      <c r="G96" s="55"/>
    </row>
    <row r="97" ht="14.25" customHeight="1">
      <c r="G97" s="55"/>
    </row>
    <row r="98" ht="14.25" customHeight="1">
      <c r="G98" s="55"/>
    </row>
    <row r="99" ht="14.25" customHeight="1">
      <c r="G99" s="55"/>
    </row>
    <row r="100" ht="14.25" customHeight="1">
      <c r="G100" s="55"/>
    </row>
    <row r="101" ht="14.25" customHeight="1">
      <c r="G101" s="55"/>
    </row>
    <row r="102" ht="14.25" customHeight="1">
      <c r="G102" s="55"/>
    </row>
    <row r="103" ht="14.25" customHeight="1">
      <c r="G103" s="55"/>
    </row>
    <row r="104" ht="14.25" customHeight="1">
      <c r="G104" s="55"/>
    </row>
    <row r="105" ht="14.25" customHeight="1">
      <c r="G105" s="55"/>
    </row>
    <row r="106" ht="14.25" customHeight="1">
      <c r="G106" s="55"/>
    </row>
    <row r="107" ht="14.25" customHeight="1">
      <c r="G107" s="55"/>
    </row>
    <row r="108" ht="14.25" customHeight="1">
      <c r="G108" s="55"/>
    </row>
    <row r="109" ht="14.25" customHeight="1">
      <c r="G109" s="55"/>
    </row>
    <row r="110" ht="14.25" customHeight="1">
      <c r="G110" s="55"/>
    </row>
    <row r="111" ht="14.25" customHeight="1">
      <c r="G111" s="55"/>
    </row>
    <row r="112" ht="14.25" customHeight="1">
      <c r="G112" s="55"/>
    </row>
    <row r="113" ht="14.25" customHeight="1">
      <c r="G113" s="55"/>
    </row>
    <row r="114" ht="14.25" customHeight="1">
      <c r="G114" s="55"/>
    </row>
    <row r="115" ht="14.25" customHeight="1">
      <c r="G115" s="55"/>
    </row>
    <row r="116" ht="14.25" customHeight="1">
      <c r="G116" s="55"/>
    </row>
    <row r="117" ht="14.25" customHeight="1">
      <c r="G117" s="55"/>
    </row>
    <row r="118" ht="14.25" customHeight="1">
      <c r="G118" s="55"/>
    </row>
    <row r="119" ht="14.25" customHeight="1">
      <c r="G119" s="55"/>
    </row>
    <row r="120" ht="14.25" customHeight="1">
      <c r="G120" s="55"/>
    </row>
    <row r="121" ht="14.25" customHeight="1">
      <c r="G121" s="55"/>
    </row>
    <row r="122" ht="14.25" customHeight="1">
      <c r="G122" s="55"/>
    </row>
    <row r="123" ht="14.25" customHeight="1">
      <c r="G123" s="55"/>
    </row>
    <row r="124" ht="14.25" customHeight="1">
      <c r="G124" s="55"/>
    </row>
    <row r="125" ht="14.25" customHeight="1">
      <c r="G125" s="55"/>
    </row>
    <row r="126" ht="14.25" customHeight="1">
      <c r="G126" s="55"/>
    </row>
    <row r="127" ht="14.25" customHeight="1">
      <c r="G127" s="55"/>
    </row>
    <row r="128" ht="14.25" customHeight="1">
      <c r="G128" s="55"/>
    </row>
    <row r="129" ht="14.25" customHeight="1">
      <c r="G129" s="55"/>
    </row>
    <row r="130" ht="14.25" customHeight="1">
      <c r="G130" s="55"/>
    </row>
    <row r="131" ht="14.25" customHeight="1">
      <c r="G131" s="55"/>
    </row>
    <row r="132" ht="14.25" customHeight="1">
      <c r="G132" s="55"/>
    </row>
    <row r="133" ht="14.25" customHeight="1">
      <c r="G133" s="55"/>
    </row>
    <row r="134" ht="14.25" customHeight="1">
      <c r="G134" s="55"/>
    </row>
    <row r="135" ht="14.25" customHeight="1">
      <c r="G135" s="55"/>
    </row>
    <row r="136" ht="14.25" customHeight="1">
      <c r="G136" s="55"/>
    </row>
    <row r="137" ht="14.25" customHeight="1">
      <c r="G137" s="55"/>
    </row>
    <row r="138" ht="14.25" customHeight="1">
      <c r="G138" s="55"/>
    </row>
    <row r="139" ht="14.25" customHeight="1">
      <c r="G139" s="55"/>
    </row>
    <row r="140" ht="14.25" customHeight="1">
      <c r="G140" s="55"/>
    </row>
    <row r="141" ht="14.25" customHeight="1">
      <c r="G141" s="55"/>
    </row>
    <row r="142" ht="14.25" customHeight="1">
      <c r="G142" s="55"/>
    </row>
    <row r="143" ht="14.25" customHeight="1">
      <c r="G143" s="55"/>
    </row>
    <row r="144" ht="14.25" customHeight="1">
      <c r="G144" s="55"/>
    </row>
    <row r="145" ht="14.25" customHeight="1">
      <c r="G145" s="55"/>
    </row>
    <row r="146" ht="14.25" customHeight="1">
      <c r="G146" s="55"/>
    </row>
    <row r="147" ht="14.25" customHeight="1">
      <c r="G147" s="55"/>
    </row>
    <row r="148" ht="14.25" customHeight="1">
      <c r="G148" s="55"/>
    </row>
    <row r="149" ht="14.25" customHeight="1">
      <c r="G149" s="55"/>
    </row>
    <row r="150" ht="14.25" customHeight="1">
      <c r="G150" s="55"/>
    </row>
    <row r="151" ht="14.25" customHeight="1">
      <c r="G151" s="55"/>
    </row>
    <row r="152" ht="14.25" customHeight="1">
      <c r="G152" s="55"/>
    </row>
    <row r="153" ht="14.25" customHeight="1">
      <c r="G153" s="55"/>
    </row>
    <row r="154" ht="14.25" customHeight="1">
      <c r="G154" s="55"/>
    </row>
    <row r="155" ht="14.25" customHeight="1">
      <c r="G155" s="55"/>
    </row>
    <row r="156" ht="14.25" customHeight="1">
      <c r="G156" s="55"/>
    </row>
    <row r="157" ht="14.25" customHeight="1">
      <c r="G157" s="55"/>
    </row>
    <row r="158" ht="14.25" customHeight="1">
      <c r="G158" s="55"/>
    </row>
    <row r="159" ht="14.25" customHeight="1">
      <c r="G159" s="55"/>
    </row>
    <row r="160" ht="14.25" customHeight="1">
      <c r="G160" s="55"/>
    </row>
    <row r="161" ht="14.25" customHeight="1">
      <c r="G161" s="55"/>
    </row>
    <row r="162" ht="14.25" customHeight="1">
      <c r="G162" s="55"/>
    </row>
    <row r="163" ht="14.25" customHeight="1">
      <c r="G163" s="55"/>
    </row>
    <row r="164" ht="14.25" customHeight="1">
      <c r="G164" s="55"/>
    </row>
    <row r="165" ht="14.25" customHeight="1">
      <c r="G165" s="55"/>
    </row>
    <row r="166" ht="14.25" customHeight="1">
      <c r="G166" s="55"/>
    </row>
    <row r="167" ht="14.25" customHeight="1">
      <c r="G167" s="55"/>
    </row>
    <row r="168" ht="14.25" customHeight="1">
      <c r="G168" s="55"/>
    </row>
    <row r="169" ht="14.25" customHeight="1">
      <c r="G169" s="55"/>
    </row>
    <row r="170" ht="14.25" customHeight="1">
      <c r="G170" s="55"/>
    </row>
    <row r="171" ht="14.25" customHeight="1">
      <c r="G171" s="55"/>
    </row>
    <row r="172" ht="14.25" customHeight="1">
      <c r="G172" s="55"/>
    </row>
    <row r="173" ht="14.25" customHeight="1">
      <c r="G173" s="55"/>
    </row>
    <row r="174" ht="14.25" customHeight="1">
      <c r="G174" s="55"/>
    </row>
    <row r="175" ht="14.25" customHeight="1">
      <c r="G175" s="55"/>
    </row>
    <row r="176" ht="14.25" customHeight="1">
      <c r="G176" s="55"/>
    </row>
    <row r="177" ht="14.25" customHeight="1">
      <c r="G177" s="55"/>
    </row>
    <row r="178" ht="14.25" customHeight="1">
      <c r="G178" s="55"/>
    </row>
    <row r="179" ht="14.25" customHeight="1">
      <c r="G179" s="55"/>
    </row>
    <row r="180" ht="14.25" customHeight="1">
      <c r="G180" s="55"/>
    </row>
    <row r="181" ht="14.25" customHeight="1">
      <c r="G181" s="55"/>
    </row>
    <row r="182" ht="14.25" customHeight="1">
      <c r="G182" s="55"/>
    </row>
    <row r="183" ht="14.25" customHeight="1">
      <c r="G183" s="55"/>
    </row>
    <row r="184" ht="14.25" customHeight="1">
      <c r="G184" s="55"/>
    </row>
    <row r="185" ht="14.25" customHeight="1">
      <c r="G185" s="55"/>
    </row>
    <row r="186" ht="14.25" customHeight="1">
      <c r="G186" s="55"/>
    </row>
    <row r="187" ht="14.25" customHeight="1">
      <c r="G187" s="55"/>
    </row>
    <row r="188" ht="14.25" customHeight="1">
      <c r="G188" s="55"/>
    </row>
    <row r="189" ht="14.25" customHeight="1">
      <c r="G189" s="55"/>
    </row>
    <row r="190" ht="14.25" customHeight="1">
      <c r="G190" s="55"/>
    </row>
    <row r="191" ht="14.25" customHeight="1">
      <c r="G191" s="55"/>
    </row>
    <row r="192" ht="14.25" customHeight="1">
      <c r="G192" s="55"/>
    </row>
    <row r="193" ht="14.25" customHeight="1">
      <c r="G193" s="55"/>
    </row>
    <row r="194" ht="14.25" customHeight="1">
      <c r="G194" s="55"/>
    </row>
    <row r="195" ht="14.25" customHeight="1">
      <c r="G195" s="55"/>
    </row>
    <row r="196" ht="14.25" customHeight="1">
      <c r="G196" s="55"/>
    </row>
    <row r="197" ht="14.25" customHeight="1">
      <c r="G197" s="55"/>
    </row>
    <row r="198" ht="14.25" customHeight="1">
      <c r="G198" s="55"/>
    </row>
    <row r="199" ht="14.25" customHeight="1">
      <c r="G199" s="55"/>
    </row>
    <row r="200" ht="14.25" customHeight="1">
      <c r="G200" s="55"/>
    </row>
    <row r="201" ht="14.25" customHeight="1">
      <c r="G201" s="55"/>
    </row>
    <row r="202" ht="14.25" customHeight="1">
      <c r="G202" s="55"/>
    </row>
    <row r="203" ht="14.25" customHeight="1">
      <c r="G203" s="55"/>
    </row>
    <row r="204" ht="14.25" customHeight="1">
      <c r="G204" s="55"/>
    </row>
    <row r="205" ht="14.25" customHeight="1">
      <c r="G205" s="55"/>
    </row>
    <row r="206" ht="14.25" customHeight="1">
      <c r="G206" s="55"/>
    </row>
    <row r="207" ht="14.25" customHeight="1">
      <c r="G207" s="55"/>
    </row>
    <row r="208" ht="14.25" customHeight="1">
      <c r="G208" s="55"/>
    </row>
    <row r="209" ht="14.25" customHeight="1">
      <c r="G209" s="55"/>
    </row>
    <row r="210" ht="14.25" customHeight="1">
      <c r="G210" s="55"/>
    </row>
    <row r="211" ht="14.25" customHeight="1">
      <c r="G211" s="55"/>
    </row>
    <row r="212" ht="14.25" customHeight="1">
      <c r="G212" s="55"/>
    </row>
    <row r="213" ht="14.25" customHeight="1">
      <c r="G213" s="55"/>
    </row>
    <row r="214" ht="14.25" customHeight="1">
      <c r="G214" s="55"/>
    </row>
    <row r="215" ht="14.25" customHeight="1">
      <c r="G215" s="55"/>
    </row>
    <row r="216" ht="14.25" customHeight="1">
      <c r="G216" s="55"/>
    </row>
    <row r="217" ht="14.25" customHeight="1">
      <c r="G217" s="55"/>
    </row>
    <row r="218" ht="14.25" customHeight="1">
      <c r="G218" s="55"/>
    </row>
    <row r="219" ht="14.25" customHeight="1">
      <c r="G219" s="55"/>
    </row>
    <row r="220" ht="14.25" customHeight="1">
      <c r="G220" s="55"/>
    </row>
    <row r="221" ht="14.25" customHeight="1">
      <c r="G221" s="55"/>
    </row>
    <row r="222" ht="14.25" customHeight="1">
      <c r="G222" s="55"/>
    </row>
    <row r="223" ht="14.25" customHeight="1">
      <c r="G223" s="55"/>
    </row>
    <row r="224" ht="14.25" customHeight="1">
      <c r="G224" s="55"/>
    </row>
    <row r="225" ht="14.25" customHeight="1">
      <c r="G225" s="55"/>
    </row>
    <row r="226" ht="14.25" customHeight="1">
      <c r="G226" s="55"/>
    </row>
    <row r="227" ht="14.25" customHeight="1">
      <c r="G227" s="55"/>
    </row>
    <row r="228" ht="14.25" customHeight="1">
      <c r="G228" s="55"/>
    </row>
    <row r="229" ht="14.25" customHeight="1">
      <c r="G229" s="55"/>
    </row>
    <row r="230" ht="14.25" customHeight="1">
      <c r="G230" s="55"/>
    </row>
    <row r="231" ht="14.25" customHeight="1">
      <c r="G231" s="55"/>
    </row>
    <row r="232" ht="14.25" customHeight="1">
      <c r="G232" s="55"/>
    </row>
    <row r="233" ht="14.25" customHeight="1">
      <c r="G233" s="55"/>
    </row>
    <row r="234" ht="14.25" customHeight="1">
      <c r="G234" s="55"/>
    </row>
    <row r="235" ht="14.25" customHeight="1">
      <c r="G235" s="55"/>
    </row>
    <row r="236" ht="14.25" customHeight="1">
      <c r="G236" s="55"/>
    </row>
    <row r="237" ht="14.25" customHeight="1">
      <c r="G237" s="55"/>
    </row>
    <row r="238" ht="14.25" customHeight="1">
      <c r="G238" s="55"/>
    </row>
    <row r="239" ht="14.25" customHeight="1">
      <c r="G239" s="55"/>
    </row>
    <row r="240" ht="14.25" customHeight="1">
      <c r="G240" s="55"/>
    </row>
    <row r="241" ht="14.25" customHeight="1">
      <c r="G241" s="55"/>
    </row>
    <row r="242" ht="14.25" customHeight="1">
      <c r="G242" s="55"/>
    </row>
    <row r="243" ht="14.25" customHeight="1">
      <c r="G243" s="55"/>
    </row>
    <row r="244" ht="14.25" customHeight="1">
      <c r="G244" s="55"/>
    </row>
    <row r="245" ht="14.25" customHeight="1">
      <c r="G245" s="55"/>
    </row>
    <row r="246" ht="14.25" customHeight="1">
      <c r="G246" s="55"/>
    </row>
    <row r="247" ht="14.25" customHeight="1">
      <c r="G247" s="55"/>
    </row>
    <row r="248" ht="14.25" customHeight="1">
      <c r="G248" s="55"/>
    </row>
    <row r="249" ht="14.25" customHeight="1">
      <c r="G249" s="55"/>
    </row>
    <row r="250" ht="14.25" customHeight="1">
      <c r="G250" s="55"/>
    </row>
    <row r="251" ht="14.25" customHeight="1">
      <c r="G251" s="55"/>
    </row>
    <row r="252" ht="14.25" customHeight="1">
      <c r="G252" s="55"/>
    </row>
    <row r="253" ht="14.25" customHeight="1">
      <c r="G253" s="55"/>
    </row>
    <row r="254" ht="14.25" customHeight="1">
      <c r="G254" s="55"/>
    </row>
    <row r="255" ht="14.25" customHeight="1">
      <c r="G255" s="55"/>
    </row>
    <row r="256" ht="14.25" customHeight="1">
      <c r="G256" s="55"/>
    </row>
    <row r="257" ht="14.25" customHeight="1">
      <c r="G257" s="55"/>
    </row>
    <row r="258" ht="14.25" customHeight="1">
      <c r="G258" s="55"/>
    </row>
    <row r="259" ht="14.25" customHeight="1">
      <c r="G259" s="55"/>
    </row>
    <row r="260" ht="14.25" customHeight="1">
      <c r="G260" s="55"/>
    </row>
    <row r="261" ht="14.25" customHeight="1">
      <c r="G261" s="55"/>
    </row>
    <row r="262" ht="14.25" customHeight="1">
      <c r="G262" s="55"/>
    </row>
    <row r="263" ht="14.25" customHeight="1">
      <c r="G263" s="55"/>
    </row>
    <row r="264" ht="14.25" customHeight="1">
      <c r="G264" s="55"/>
    </row>
    <row r="265" ht="14.25" customHeight="1">
      <c r="G265" s="55"/>
    </row>
    <row r="266" ht="14.25" customHeight="1">
      <c r="G266" s="55"/>
    </row>
    <row r="267" ht="14.25" customHeight="1">
      <c r="G267" s="55"/>
    </row>
    <row r="268" ht="14.25" customHeight="1">
      <c r="G268" s="55"/>
    </row>
    <row r="269" ht="14.25" customHeight="1">
      <c r="G269" s="55"/>
    </row>
    <row r="270" ht="14.25" customHeight="1">
      <c r="G270" s="55"/>
    </row>
    <row r="271" ht="14.25" customHeight="1">
      <c r="G271" s="55"/>
    </row>
    <row r="272" ht="14.25" customHeight="1">
      <c r="G272" s="55"/>
    </row>
    <row r="273" ht="14.25" customHeight="1">
      <c r="G273" s="55"/>
    </row>
    <row r="274" ht="14.25" customHeight="1">
      <c r="G274" s="55"/>
    </row>
    <row r="275" ht="14.25" customHeight="1">
      <c r="G275" s="55"/>
    </row>
    <row r="276" ht="14.25" customHeight="1">
      <c r="G276" s="55"/>
    </row>
    <row r="277" ht="14.25" customHeight="1">
      <c r="G277" s="55"/>
    </row>
    <row r="278" ht="14.25" customHeight="1">
      <c r="G278" s="55"/>
    </row>
    <row r="279" ht="14.25" customHeight="1">
      <c r="G279" s="55"/>
    </row>
    <row r="280" ht="14.25" customHeight="1">
      <c r="G280" s="55"/>
    </row>
    <row r="281" ht="14.25" customHeight="1">
      <c r="G281" s="55"/>
    </row>
    <row r="282" ht="14.25" customHeight="1">
      <c r="G282" s="55"/>
    </row>
    <row r="283" ht="14.25" customHeight="1">
      <c r="G283" s="55"/>
    </row>
    <row r="284" ht="14.25" customHeight="1">
      <c r="G284" s="55"/>
    </row>
    <row r="285" ht="14.25" customHeight="1">
      <c r="G285" s="55"/>
    </row>
    <row r="286" ht="14.25" customHeight="1">
      <c r="G286" s="55"/>
    </row>
    <row r="287" ht="14.25" customHeight="1">
      <c r="G287" s="55"/>
    </row>
    <row r="288" ht="14.25" customHeight="1">
      <c r="G288" s="55"/>
    </row>
    <row r="289" ht="14.25" customHeight="1">
      <c r="G289" s="55"/>
    </row>
    <row r="290" ht="14.25" customHeight="1">
      <c r="G290" s="55"/>
    </row>
    <row r="291" ht="14.25" customHeight="1">
      <c r="G291" s="55"/>
    </row>
    <row r="292" ht="14.25" customHeight="1">
      <c r="G292" s="55"/>
    </row>
    <row r="293" ht="14.25" customHeight="1">
      <c r="G293" s="55"/>
    </row>
    <row r="294" ht="14.25" customHeight="1">
      <c r="G294" s="55"/>
    </row>
    <row r="295" ht="14.25" customHeight="1">
      <c r="G295" s="55"/>
    </row>
    <row r="296" ht="14.25" customHeight="1">
      <c r="G296" s="55"/>
    </row>
    <row r="297" ht="14.25" customHeight="1">
      <c r="G297" s="55"/>
    </row>
    <row r="298" ht="14.25" customHeight="1">
      <c r="G298" s="55"/>
    </row>
    <row r="299" ht="14.25" customHeight="1">
      <c r="G299" s="55"/>
    </row>
    <row r="300" ht="14.25" customHeight="1">
      <c r="G300" s="55"/>
    </row>
    <row r="301" ht="14.25" customHeight="1">
      <c r="G301" s="55"/>
    </row>
    <row r="302" ht="14.25" customHeight="1">
      <c r="G302" s="55"/>
    </row>
    <row r="303" ht="14.25" customHeight="1">
      <c r="G303" s="55"/>
    </row>
    <row r="304" ht="14.25" customHeight="1">
      <c r="G304" s="55"/>
    </row>
    <row r="305" ht="14.25" customHeight="1">
      <c r="G305" s="55"/>
    </row>
    <row r="306" ht="14.25" customHeight="1">
      <c r="G306" s="55"/>
    </row>
    <row r="307" ht="14.25" customHeight="1">
      <c r="G307" s="55"/>
    </row>
    <row r="308" ht="14.25" customHeight="1">
      <c r="G308" s="55"/>
    </row>
    <row r="309" ht="14.25" customHeight="1">
      <c r="G309" s="55"/>
    </row>
    <row r="310" ht="14.25" customHeight="1">
      <c r="G310" s="55"/>
    </row>
    <row r="311" ht="14.25" customHeight="1">
      <c r="G311" s="55"/>
    </row>
    <row r="312" ht="14.25" customHeight="1">
      <c r="G312" s="55"/>
    </row>
    <row r="313" ht="14.25" customHeight="1">
      <c r="G313" s="55"/>
    </row>
    <row r="314" ht="14.25" customHeight="1">
      <c r="G314" s="55"/>
    </row>
    <row r="315" ht="14.25" customHeight="1">
      <c r="G315" s="55"/>
    </row>
    <row r="316" ht="14.25" customHeight="1">
      <c r="G316" s="55"/>
    </row>
    <row r="317" ht="14.25" customHeight="1">
      <c r="G317" s="55"/>
    </row>
    <row r="318" ht="14.25" customHeight="1">
      <c r="G318" s="55"/>
    </row>
    <row r="319" ht="14.25" customHeight="1">
      <c r="G319" s="55"/>
    </row>
    <row r="320" ht="14.25" customHeight="1">
      <c r="G320" s="55"/>
    </row>
    <row r="321" ht="14.25" customHeight="1">
      <c r="G321" s="55"/>
    </row>
    <row r="322" ht="14.25" customHeight="1">
      <c r="G322" s="55"/>
    </row>
    <row r="323" ht="14.25" customHeight="1">
      <c r="G323" s="55"/>
    </row>
    <row r="324" ht="14.25" customHeight="1">
      <c r="G324" s="55"/>
    </row>
    <row r="325" ht="14.25" customHeight="1">
      <c r="G325" s="55"/>
    </row>
    <row r="326" ht="14.25" customHeight="1">
      <c r="G326" s="55"/>
    </row>
    <row r="327" ht="14.25" customHeight="1">
      <c r="G327" s="55"/>
    </row>
    <row r="328" ht="14.25" customHeight="1">
      <c r="G328" s="55"/>
    </row>
    <row r="329" ht="14.25" customHeight="1">
      <c r="G329" s="55"/>
    </row>
    <row r="330" ht="14.25" customHeight="1">
      <c r="G330" s="55"/>
    </row>
    <row r="331" ht="14.25" customHeight="1">
      <c r="G331" s="55"/>
    </row>
    <row r="332" ht="14.25" customHeight="1">
      <c r="G332" s="55"/>
    </row>
    <row r="333" ht="14.25" customHeight="1">
      <c r="G333" s="55"/>
    </row>
    <row r="334" ht="14.25" customHeight="1">
      <c r="G334" s="55"/>
    </row>
    <row r="335" ht="14.25" customHeight="1">
      <c r="G335" s="55"/>
    </row>
    <row r="336" ht="14.25" customHeight="1">
      <c r="G336" s="55"/>
    </row>
    <row r="337" ht="14.25" customHeight="1">
      <c r="G337" s="55"/>
    </row>
    <row r="338" ht="14.25" customHeight="1">
      <c r="G338" s="55"/>
    </row>
    <row r="339" ht="14.25" customHeight="1">
      <c r="G339" s="55"/>
    </row>
    <row r="340" ht="14.25" customHeight="1">
      <c r="G340" s="55"/>
    </row>
    <row r="341" ht="14.25" customHeight="1">
      <c r="G341" s="55"/>
    </row>
    <row r="342" ht="14.25" customHeight="1">
      <c r="G342" s="55"/>
    </row>
    <row r="343" ht="14.25" customHeight="1">
      <c r="G343" s="55"/>
    </row>
    <row r="344" ht="14.25" customHeight="1">
      <c r="G344" s="55"/>
    </row>
    <row r="345" ht="14.25" customHeight="1">
      <c r="G345" s="55"/>
    </row>
    <row r="346" ht="14.25" customHeight="1">
      <c r="G346" s="55"/>
    </row>
    <row r="347" ht="14.25" customHeight="1">
      <c r="G347" s="55"/>
    </row>
    <row r="348" ht="14.25" customHeight="1">
      <c r="G348" s="55"/>
    </row>
    <row r="349" ht="14.25" customHeight="1">
      <c r="G349" s="55"/>
    </row>
    <row r="350" ht="14.25" customHeight="1">
      <c r="G350" s="55"/>
    </row>
    <row r="351" ht="14.25" customHeight="1">
      <c r="G351" s="55"/>
    </row>
    <row r="352" ht="14.25" customHeight="1">
      <c r="G352" s="55"/>
    </row>
    <row r="353" ht="14.25" customHeight="1">
      <c r="G353" s="55"/>
    </row>
    <row r="354" ht="14.25" customHeight="1">
      <c r="G354" s="55"/>
    </row>
    <row r="355" ht="14.25" customHeight="1">
      <c r="G355" s="55"/>
    </row>
    <row r="356" ht="14.25" customHeight="1">
      <c r="G356" s="55"/>
    </row>
    <row r="357" ht="14.25" customHeight="1">
      <c r="G357" s="55"/>
    </row>
    <row r="358" ht="14.25" customHeight="1">
      <c r="G358" s="55"/>
    </row>
    <row r="359" ht="14.25" customHeight="1">
      <c r="G359" s="55"/>
    </row>
    <row r="360" ht="14.25" customHeight="1">
      <c r="G360" s="55"/>
    </row>
    <row r="361" ht="14.25" customHeight="1">
      <c r="G361" s="55"/>
    </row>
    <row r="362" ht="14.25" customHeight="1">
      <c r="G362" s="55"/>
    </row>
    <row r="363" ht="14.25" customHeight="1">
      <c r="G363" s="55"/>
    </row>
    <row r="364" ht="14.25" customHeight="1">
      <c r="G364" s="55"/>
    </row>
    <row r="365" ht="14.25" customHeight="1">
      <c r="G365" s="55"/>
    </row>
    <row r="366" ht="14.25" customHeight="1">
      <c r="G366" s="55"/>
    </row>
    <row r="367" ht="14.25" customHeight="1">
      <c r="G367" s="55"/>
    </row>
    <row r="368" ht="14.25" customHeight="1">
      <c r="G368" s="55"/>
    </row>
    <row r="369" ht="14.25" customHeight="1">
      <c r="G369" s="55"/>
    </row>
    <row r="370" ht="14.25" customHeight="1">
      <c r="G370" s="55"/>
    </row>
    <row r="371" ht="14.25" customHeight="1">
      <c r="G371" s="55"/>
    </row>
    <row r="372" ht="14.25" customHeight="1">
      <c r="G372" s="55"/>
    </row>
    <row r="373" ht="14.25" customHeight="1">
      <c r="G373" s="55"/>
    </row>
    <row r="374" ht="14.25" customHeight="1">
      <c r="G374" s="55"/>
    </row>
    <row r="375" ht="14.25" customHeight="1">
      <c r="G375" s="55"/>
    </row>
    <row r="376" ht="14.25" customHeight="1">
      <c r="G376" s="55"/>
    </row>
    <row r="377" ht="14.25" customHeight="1">
      <c r="G377" s="55"/>
    </row>
    <row r="378" ht="14.25" customHeight="1">
      <c r="G378" s="55"/>
    </row>
    <row r="379" ht="14.25" customHeight="1">
      <c r="G379" s="55"/>
    </row>
    <row r="380" ht="14.25" customHeight="1">
      <c r="G380" s="55"/>
    </row>
    <row r="381" ht="14.25" customHeight="1">
      <c r="G381" s="55"/>
    </row>
    <row r="382" ht="14.25" customHeight="1">
      <c r="G382" s="55"/>
    </row>
    <row r="383" ht="14.25" customHeight="1">
      <c r="G383" s="55"/>
    </row>
    <row r="384" ht="14.25" customHeight="1">
      <c r="G384" s="55"/>
    </row>
    <row r="385" ht="14.25" customHeight="1">
      <c r="G385" s="55"/>
    </row>
    <row r="386" ht="14.25" customHeight="1">
      <c r="G386" s="55"/>
    </row>
    <row r="387" ht="14.25" customHeight="1">
      <c r="G387" s="55"/>
    </row>
    <row r="388" ht="14.25" customHeight="1">
      <c r="G388" s="55"/>
    </row>
    <row r="389" ht="14.25" customHeight="1">
      <c r="G389" s="55"/>
    </row>
    <row r="390" ht="14.25" customHeight="1">
      <c r="G390" s="55"/>
    </row>
    <row r="391" ht="14.25" customHeight="1">
      <c r="G391" s="55"/>
    </row>
    <row r="392" ht="14.25" customHeight="1">
      <c r="G392" s="55"/>
    </row>
    <row r="393" ht="14.25" customHeight="1">
      <c r="G393" s="55"/>
    </row>
    <row r="394" ht="14.25" customHeight="1">
      <c r="G394" s="55"/>
    </row>
    <row r="395" ht="14.25" customHeight="1">
      <c r="G395" s="55"/>
    </row>
    <row r="396" ht="14.25" customHeight="1">
      <c r="G396" s="55"/>
    </row>
    <row r="397" ht="14.25" customHeight="1">
      <c r="G397" s="55"/>
    </row>
    <row r="398" ht="14.25" customHeight="1">
      <c r="G398" s="55"/>
    </row>
    <row r="399" ht="14.25" customHeight="1">
      <c r="G399" s="55"/>
    </row>
    <row r="400" ht="14.25" customHeight="1">
      <c r="G400" s="55"/>
    </row>
    <row r="401" ht="14.25" customHeight="1">
      <c r="G401" s="55"/>
    </row>
    <row r="402" ht="14.25" customHeight="1">
      <c r="G402" s="55"/>
    </row>
    <row r="403" ht="14.25" customHeight="1">
      <c r="G403" s="55"/>
    </row>
    <row r="404" ht="14.25" customHeight="1">
      <c r="G404" s="55"/>
    </row>
    <row r="405" ht="14.25" customHeight="1">
      <c r="G405" s="55"/>
    </row>
    <row r="406" ht="14.25" customHeight="1">
      <c r="G406" s="55"/>
    </row>
    <row r="407" ht="14.25" customHeight="1">
      <c r="G407" s="55"/>
    </row>
    <row r="408" ht="14.25" customHeight="1">
      <c r="G408" s="55"/>
    </row>
    <row r="409" ht="14.25" customHeight="1">
      <c r="G409" s="55"/>
    </row>
    <row r="410" ht="14.25" customHeight="1">
      <c r="G410" s="55"/>
    </row>
    <row r="411" ht="14.25" customHeight="1">
      <c r="G411" s="55"/>
    </row>
    <row r="412" ht="14.25" customHeight="1">
      <c r="G412" s="55"/>
    </row>
    <row r="413" ht="14.25" customHeight="1">
      <c r="G413" s="55"/>
    </row>
    <row r="414" ht="14.25" customHeight="1">
      <c r="G414" s="55"/>
    </row>
    <row r="415" ht="14.25" customHeight="1">
      <c r="G415" s="55"/>
    </row>
    <row r="416" ht="14.25" customHeight="1">
      <c r="G416" s="55"/>
    </row>
    <row r="417" ht="14.25" customHeight="1">
      <c r="G417" s="55"/>
    </row>
    <row r="418" ht="14.25" customHeight="1">
      <c r="G418" s="55"/>
    </row>
    <row r="419" ht="14.25" customHeight="1">
      <c r="G419" s="55"/>
    </row>
    <row r="420" ht="14.25" customHeight="1">
      <c r="G420" s="55"/>
    </row>
    <row r="421" ht="14.25" customHeight="1">
      <c r="G421" s="55"/>
    </row>
    <row r="422" ht="14.25" customHeight="1">
      <c r="G422" s="55"/>
    </row>
    <row r="423" ht="14.25" customHeight="1">
      <c r="G423" s="55"/>
    </row>
    <row r="424" ht="14.25" customHeight="1">
      <c r="G424" s="55"/>
    </row>
    <row r="425" ht="14.25" customHeight="1">
      <c r="G425" s="55"/>
    </row>
    <row r="426" ht="14.25" customHeight="1">
      <c r="G426" s="55"/>
    </row>
    <row r="427" ht="14.25" customHeight="1">
      <c r="G427" s="55"/>
    </row>
    <row r="428" ht="14.25" customHeight="1">
      <c r="G428" s="55"/>
    </row>
    <row r="429" ht="14.25" customHeight="1">
      <c r="G429" s="55"/>
    </row>
    <row r="430" ht="14.25" customHeight="1">
      <c r="G430" s="55"/>
    </row>
    <row r="431" ht="14.25" customHeight="1">
      <c r="G431" s="55"/>
    </row>
    <row r="432" ht="14.25" customHeight="1">
      <c r="G432" s="55"/>
    </row>
    <row r="433" ht="14.25" customHeight="1">
      <c r="G433" s="55"/>
    </row>
    <row r="434" ht="14.25" customHeight="1">
      <c r="G434" s="55"/>
    </row>
    <row r="435" ht="14.25" customHeight="1">
      <c r="G435" s="55"/>
    </row>
    <row r="436" ht="14.25" customHeight="1">
      <c r="G436" s="55"/>
    </row>
    <row r="437" ht="14.25" customHeight="1">
      <c r="G437" s="55"/>
    </row>
    <row r="438" ht="14.25" customHeight="1">
      <c r="G438" s="55"/>
    </row>
    <row r="439" ht="14.25" customHeight="1">
      <c r="G439" s="55"/>
    </row>
    <row r="440" ht="14.25" customHeight="1">
      <c r="G440" s="55"/>
    </row>
    <row r="441" ht="14.25" customHeight="1">
      <c r="G441" s="55"/>
    </row>
    <row r="442" ht="14.25" customHeight="1">
      <c r="G442" s="55"/>
    </row>
    <row r="443" ht="14.25" customHeight="1">
      <c r="G443" s="55"/>
    </row>
    <row r="444" ht="14.25" customHeight="1">
      <c r="G444" s="55"/>
    </row>
    <row r="445" ht="14.25" customHeight="1">
      <c r="G445" s="55"/>
    </row>
    <row r="446" ht="14.25" customHeight="1">
      <c r="G446" s="55"/>
    </row>
    <row r="447" ht="14.25" customHeight="1">
      <c r="G447" s="55"/>
    </row>
    <row r="448" ht="14.25" customHeight="1">
      <c r="G448" s="55"/>
    </row>
    <row r="449" ht="14.25" customHeight="1">
      <c r="G449" s="55"/>
    </row>
    <row r="450" ht="14.25" customHeight="1">
      <c r="G450" s="55"/>
    </row>
    <row r="451" ht="14.25" customHeight="1">
      <c r="G451" s="55"/>
    </row>
    <row r="452" ht="14.25" customHeight="1">
      <c r="G452" s="55"/>
    </row>
    <row r="453" ht="14.25" customHeight="1">
      <c r="G453" s="55"/>
    </row>
    <row r="454" ht="14.25" customHeight="1">
      <c r="G454" s="55"/>
    </row>
    <row r="455" ht="14.25" customHeight="1">
      <c r="G455" s="55"/>
    </row>
    <row r="456" ht="14.25" customHeight="1">
      <c r="G456" s="55"/>
    </row>
    <row r="457" ht="14.25" customHeight="1">
      <c r="G457" s="55"/>
    </row>
    <row r="458" ht="14.25" customHeight="1">
      <c r="G458" s="55"/>
    </row>
    <row r="459" ht="14.25" customHeight="1">
      <c r="G459" s="55"/>
    </row>
    <row r="460" ht="14.25" customHeight="1">
      <c r="G460" s="55"/>
    </row>
    <row r="461" ht="14.25" customHeight="1">
      <c r="G461" s="55"/>
    </row>
    <row r="462" ht="14.25" customHeight="1">
      <c r="G462" s="55"/>
    </row>
    <row r="463" ht="14.25" customHeight="1">
      <c r="G463" s="55"/>
    </row>
    <row r="464" ht="14.25" customHeight="1">
      <c r="G464" s="55"/>
    </row>
    <row r="465" ht="14.25" customHeight="1">
      <c r="G465" s="55"/>
    </row>
    <row r="466" ht="14.25" customHeight="1">
      <c r="G466" s="55"/>
    </row>
    <row r="467" ht="14.25" customHeight="1">
      <c r="G467" s="55"/>
    </row>
    <row r="468" ht="14.25" customHeight="1">
      <c r="G468" s="55"/>
    </row>
    <row r="469" ht="14.25" customHeight="1">
      <c r="G469" s="55"/>
    </row>
    <row r="470" ht="14.25" customHeight="1">
      <c r="G470" s="55"/>
    </row>
    <row r="471" ht="14.25" customHeight="1">
      <c r="G471" s="55"/>
    </row>
    <row r="472" ht="14.25" customHeight="1">
      <c r="G472" s="55"/>
    </row>
    <row r="473" ht="14.25" customHeight="1">
      <c r="G473" s="55"/>
    </row>
    <row r="474" ht="14.25" customHeight="1">
      <c r="G474" s="55"/>
    </row>
    <row r="475" ht="14.25" customHeight="1">
      <c r="G475" s="55"/>
    </row>
    <row r="476" ht="14.25" customHeight="1">
      <c r="G476" s="55"/>
    </row>
    <row r="477" ht="14.25" customHeight="1">
      <c r="G477" s="55"/>
    </row>
    <row r="478" ht="14.25" customHeight="1">
      <c r="G478" s="55"/>
    </row>
    <row r="479" ht="14.25" customHeight="1">
      <c r="G479" s="55"/>
    </row>
    <row r="480" ht="14.25" customHeight="1">
      <c r="G480" s="55"/>
    </row>
    <row r="481" ht="14.25" customHeight="1">
      <c r="G481" s="55"/>
    </row>
    <row r="482" ht="14.25" customHeight="1">
      <c r="G482" s="55"/>
    </row>
    <row r="483" ht="14.25" customHeight="1">
      <c r="G483" s="55"/>
    </row>
    <row r="484" ht="14.25" customHeight="1">
      <c r="G484" s="55"/>
    </row>
    <row r="485" ht="14.25" customHeight="1">
      <c r="G485" s="55"/>
    </row>
    <row r="486" ht="14.25" customHeight="1">
      <c r="G486" s="55"/>
    </row>
    <row r="487" ht="14.25" customHeight="1">
      <c r="G487" s="55"/>
    </row>
    <row r="488" ht="14.25" customHeight="1">
      <c r="G488" s="55"/>
    </row>
    <row r="489" ht="14.25" customHeight="1">
      <c r="G489" s="55"/>
    </row>
    <row r="490" ht="14.25" customHeight="1">
      <c r="G490" s="55"/>
    </row>
    <row r="491" ht="14.25" customHeight="1">
      <c r="G491" s="55"/>
    </row>
    <row r="492" ht="14.25" customHeight="1">
      <c r="G492" s="55"/>
    </row>
    <row r="493" ht="14.25" customHeight="1">
      <c r="G493" s="55"/>
    </row>
    <row r="494" ht="14.25" customHeight="1">
      <c r="G494" s="55"/>
    </row>
    <row r="495" ht="14.25" customHeight="1">
      <c r="G495" s="55"/>
    </row>
    <row r="496" ht="14.25" customHeight="1">
      <c r="G496" s="55"/>
    </row>
    <row r="497" ht="14.25" customHeight="1">
      <c r="G497" s="55"/>
    </row>
    <row r="498" ht="14.25" customHeight="1">
      <c r="G498" s="55"/>
    </row>
    <row r="499" ht="14.25" customHeight="1">
      <c r="G499" s="55"/>
    </row>
    <row r="500" ht="14.25" customHeight="1">
      <c r="G500" s="55"/>
    </row>
    <row r="501" ht="14.25" customHeight="1">
      <c r="G501" s="55"/>
    </row>
    <row r="502" ht="14.25" customHeight="1">
      <c r="G502" s="55"/>
    </row>
    <row r="503" ht="14.25" customHeight="1">
      <c r="G503" s="55"/>
    </row>
    <row r="504" ht="14.25" customHeight="1">
      <c r="G504" s="55"/>
    </row>
    <row r="505" ht="14.25" customHeight="1">
      <c r="G505" s="55"/>
    </row>
    <row r="506" ht="14.25" customHeight="1">
      <c r="G506" s="55"/>
    </row>
    <row r="507" ht="14.25" customHeight="1">
      <c r="G507" s="55"/>
    </row>
    <row r="508" ht="14.25" customHeight="1">
      <c r="G508" s="55"/>
    </row>
    <row r="509" ht="14.25" customHeight="1">
      <c r="G509" s="55"/>
    </row>
    <row r="510" ht="14.25" customHeight="1">
      <c r="G510" s="55"/>
    </row>
    <row r="511" ht="14.25" customHeight="1">
      <c r="G511" s="55"/>
    </row>
    <row r="512" ht="14.25" customHeight="1">
      <c r="G512" s="55"/>
    </row>
    <row r="513" ht="14.25" customHeight="1">
      <c r="G513" s="55"/>
    </row>
    <row r="514" ht="14.25" customHeight="1">
      <c r="G514" s="55"/>
    </row>
    <row r="515" ht="14.25" customHeight="1">
      <c r="G515" s="55"/>
    </row>
    <row r="516" ht="14.25" customHeight="1">
      <c r="G516" s="55"/>
    </row>
    <row r="517" ht="14.25" customHeight="1">
      <c r="G517" s="55"/>
    </row>
    <row r="518" ht="14.25" customHeight="1">
      <c r="G518" s="55"/>
    </row>
    <row r="519" ht="14.25" customHeight="1">
      <c r="G519" s="55"/>
    </row>
    <row r="520" ht="14.25" customHeight="1">
      <c r="G520" s="55"/>
    </row>
    <row r="521" ht="14.25" customHeight="1">
      <c r="G521" s="55"/>
    </row>
    <row r="522" ht="14.25" customHeight="1">
      <c r="G522" s="55"/>
    </row>
    <row r="523" ht="14.25" customHeight="1">
      <c r="G523" s="55"/>
    </row>
    <row r="524" ht="14.25" customHeight="1">
      <c r="G524" s="55"/>
    </row>
    <row r="525" ht="14.25" customHeight="1">
      <c r="G525" s="55"/>
    </row>
    <row r="526" ht="14.25" customHeight="1">
      <c r="G526" s="55"/>
    </row>
    <row r="527" ht="14.25" customHeight="1">
      <c r="G527" s="55"/>
    </row>
    <row r="528" ht="14.25" customHeight="1">
      <c r="G528" s="55"/>
    </row>
    <row r="529" ht="14.25" customHeight="1">
      <c r="G529" s="55"/>
    </row>
    <row r="530" ht="14.25" customHeight="1">
      <c r="G530" s="55"/>
    </row>
    <row r="531" ht="14.25" customHeight="1">
      <c r="G531" s="55"/>
    </row>
    <row r="532" ht="14.25" customHeight="1">
      <c r="G532" s="55"/>
    </row>
    <row r="533" ht="14.25" customHeight="1">
      <c r="G533" s="55"/>
    </row>
    <row r="534" ht="14.25" customHeight="1">
      <c r="G534" s="55"/>
    </row>
    <row r="535" ht="14.25" customHeight="1">
      <c r="G535" s="55"/>
    </row>
    <row r="536" ht="14.25" customHeight="1">
      <c r="G536" s="55"/>
    </row>
    <row r="537" ht="14.25" customHeight="1">
      <c r="G537" s="55"/>
    </row>
    <row r="538" ht="14.25" customHeight="1">
      <c r="G538" s="55"/>
    </row>
    <row r="539" ht="14.25" customHeight="1">
      <c r="G539" s="55"/>
    </row>
    <row r="540" ht="14.25" customHeight="1">
      <c r="G540" s="55"/>
    </row>
    <row r="541" ht="14.25" customHeight="1">
      <c r="G541" s="55"/>
    </row>
    <row r="542" ht="14.25" customHeight="1">
      <c r="G542" s="55"/>
    </row>
    <row r="543" ht="14.25" customHeight="1">
      <c r="G543" s="55"/>
    </row>
    <row r="544" ht="14.25" customHeight="1">
      <c r="G544" s="55"/>
    </row>
    <row r="545" ht="14.25" customHeight="1">
      <c r="G545" s="55"/>
    </row>
    <row r="546" ht="14.25" customHeight="1">
      <c r="G546" s="55"/>
    </row>
    <row r="547" ht="14.25" customHeight="1">
      <c r="G547" s="55"/>
    </row>
    <row r="548" ht="14.25" customHeight="1">
      <c r="G548" s="55"/>
    </row>
    <row r="549" ht="14.25" customHeight="1">
      <c r="G549" s="55"/>
    </row>
    <row r="550" ht="14.25" customHeight="1">
      <c r="G550" s="55"/>
    </row>
    <row r="551" ht="14.25" customHeight="1">
      <c r="G551" s="55"/>
    </row>
    <row r="552" ht="14.25" customHeight="1">
      <c r="G552" s="55"/>
    </row>
    <row r="553" ht="14.25" customHeight="1">
      <c r="G553" s="55"/>
    </row>
    <row r="554" ht="14.25" customHeight="1">
      <c r="G554" s="55"/>
    </row>
    <row r="555" ht="14.25" customHeight="1">
      <c r="G555" s="55"/>
    </row>
    <row r="556" ht="14.25" customHeight="1">
      <c r="G556" s="55"/>
    </row>
    <row r="557" ht="14.25" customHeight="1">
      <c r="G557" s="55"/>
    </row>
    <row r="558" ht="14.25" customHeight="1">
      <c r="G558" s="55"/>
    </row>
    <row r="559" ht="14.25" customHeight="1">
      <c r="G559" s="55"/>
    </row>
    <row r="560" ht="14.25" customHeight="1">
      <c r="G560" s="55"/>
    </row>
    <row r="561" ht="14.25" customHeight="1">
      <c r="G561" s="55"/>
    </row>
    <row r="562" ht="14.25" customHeight="1">
      <c r="G562" s="55"/>
    </row>
    <row r="563" ht="14.25" customHeight="1">
      <c r="G563" s="55"/>
    </row>
    <row r="564" ht="14.25" customHeight="1">
      <c r="G564" s="55"/>
    </row>
    <row r="565" ht="14.25" customHeight="1">
      <c r="G565" s="55"/>
    </row>
    <row r="566" ht="14.25" customHeight="1">
      <c r="G566" s="55"/>
    </row>
    <row r="567" ht="14.25" customHeight="1">
      <c r="G567" s="55"/>
    </row>
    <row r="568" ht="14.25" customHeight="1">
      <c r="G568" s="55"/>
    </row>
    <row r="569" ht="14.25" customHeight="1">
      <c r="G569" s="55"/>
    </row>
    <row r="570" ht="14.25" customHeight="1">
      <c r="G570" s="55"/>
    </row>
    <row r="571" ht="14.25" customHeight="1">
      <c r="G571" s="55"/>
    </row>
    <row r="572" ht="14.25" customHeight="1">
      <c r="G572" s="55"/>
    </row>
    <row r="573" ht="14.25" customHeight="1">
      <c r="G573" s="55"/>
    </row>
    <row r="574" ht="14.25" customHeight="1">
      <c r="G574" s="55"/>
    </row>
    <row r="575" ht="14.25" customHeight="1">
      <c r="G575" s="55"/>
    </row>
    <row r="576" ht="14.25" customHeight="1">
      <c r="G576" s="55"/>
    </row>
    <row r="577" ht="14.25" customHeight="1">
      <c r="G577" s="55"/>
    </row>
    <row r="578" ht="14.25" customHeight="1">
      <c r="G578" s="55"/>
    </row>
    <row r="579" ht="14.25" customHeight="1">
      <c r="G579" s="55"/>
    </row>
    <row r="580" ht="14.25" customHeight="1">
      <c r="G580" s="55"/>
    </row>
    <row r="581" ht="14.25" customHeight="1">
      <c r="G581" s="55"/>
    </row>
    <row r="582" ht="14.25" customHeight="1">
      <c r="G582" s="55"/>
    </row>
    <row r="583" ht="14.25" customHeight="1">
      <c r="G583" s="55"/>
    </row>
    <row r="584" ht="14.25" customHeight="1">
      <c r="G584" s="55"/>
    </row>
    <row r="585" ht="14.25" customHeight="1">
      <c r="G585" s="55"/>
    </row>
    <row r="586" ht="14.25" customHeight="1">
      <c r="G586" s="55"/>
    </row>
    <row r="587" ht="14.25" customHeight="1">
      <c r="G587" s="55"/>
    </row>
    <row r="588" ht="14.25" customHeight="1">
      <c r="G588" s="55"/>
    </row>
    <row r="589" ht="14.25" customHeight="1">
      <c r="G589" s="55"/>
    </row>
    <row r="590" ht="14.25" customHeight="1">
      <c r="G590" s="55"/>
    </row>
    <row r="591" ht="14.25" customHeight="1">
      <c r="G591" s="55"/>
    </row>
    <row r="592" ht="14.25" customHeight="1">
      <c r="G592" s="55"/>
    </row>
    <row r="593" ht="14.25" customHeight="1">
      <c r="G593" s="55"/>
    </row>
    <row r="594" ht="14.25" customHeight="1">
      <c r="G594" s="55"/>
    </row>
    <row r="595" ht="14.25" customHeight="1">
      <c r="G595" s="55"/>
    </row>
    <row r="596" ht="14.25" customHeight="1">
      <c r="G596" s="55"/>
    </row>
    <row r="597" ht="14.25" customHeight="1">
      <c r="G597" s="55"/>
    </row>
    <row r="598" ht="14.25" customHeight="1">
      <c r="G598" s="55"/>
    </row>
    <row r="599" ht="14.25" customHeight="1">
      <c r="G599" s="55"/>
    </row>
    <row r="600" ht="14.25" customHeight="1">
      <c r="G600" s="55"/>
    </row>
    <row r="601" ht="14.25" customHeight="1">
      <c r="G601" s="55"/>
    </row>
    <row r="602" ht="14.25" customHeight="1">
      <c r="G602" s="55"/>
    </row>
    <row r="603" ht="14.25" customHeight="1">
      <c r="G603" s="55"/>
    </row>
    <row r="604" ht="14.25" customHeight="1">
      <c r="G604" s="55"/>
    </row>
    <row r="605" ht="14.25" customHeight="1">
      <c r="G605" s="55"/>
    </row>
    <row r="606" ht="14.25" customHeight="1">
      <c r="G606" s="55"/>
    </row>
    <row r="607" ht="14.25" customHeight="1">
      <c r="G607" s="55"/>
    </row>
    <row r="608" ht="14.25" customHeight="1">
      <c r="G608" s="55"/>
    </row>
    <row r="609" ht="14.25" customHeight="1">
      <c r="G609" s="55"/>
    </row>
    <row r="610" ht="14.25" customHeight="1">
      <c r="G610" s="55"/>
    </row>
    <row r="611" ht="14.25" customHeight="1">
      <c r="G611" s="55"/>
    </row>
    <row r="612" ht="14.25" customHeight="1">
      <c r="G612" s="55"/>
    </row>
    <row r="613" ht="14.25" customHeight="1">
      <c r="G613" s="55"/>
    </row>
    <row r="614" ht="14.25" customHeight="1">
      <c r="G614" s="55"/>
    </row>
    <row r="615" ht="14.25" customHeight="1">
      <c r="G615" s="55"/>
    </row>
    <row r="616" ht="14.25" customHeight="1">
      <c r="G616" s="55"/>
    </row>
    <row r="617" ht="14.25" customHeight="1">
      <c r="G617" s="55"/>
    </row>
    <row r="618" ht="14.25" customHeight="1">
      <c r="G618" s="55"/>
    </row>
    <row r="619" ht="14.25" customHeight="1">
      <c r="G619" s="55"/>
    </row>
    <row r="620" ht="14.25" customHeight="1">
      <c r="G620" s="55"/>
    </row>
    <row r="621" ht="14.25" customHeight="1">
      <c r="G621" s="55"/>
    </row>
    <row r="622" ht="14.25" customHeight="1">
      <c r="G622" s="55"/>
    </row>
    <row r="623" ht="14.25" customHeight="1">
      <c r="G623" s="55"/>
    </row>
    <row r="624" ht="14.25" customHeight="1">
      <c r="G624" s="55"/>
    </row>
    <row r="625" ht="14.25" customHeight="1">
      <c r="G625" s="55"/>
    </row>
    <row r="626" ht="14.25" customHeight="1">
      <c r="G626" s="55"/>
    </row>
    <row r="627" ht="14.25" customHeight="1">
      <c r="G627" s="55"/>
    </row>
    <row r="628" ht="14.25" customHeight="1">
      <c r="G628" s="55"/>
    </row>
    <row r="629" ht="14.25" customHeight="1">
      <c r="G629" s="55"/>
    </row>
    <row r="630" ht="14.25" customHeight="1">
      <c r="G630" s="55"/>
    </row>
    <row r="631" ht="14.25" customHeight="1">
      <c r="G631" s="55"/>
    </row>
    <row r="632" ht="14.25" customHeight="1">
      <c r="G632" s="55"/>
    </row>
    <row r="633" ht="14.25" customHeight="1">
      <c r="G633" s="55"/>
    </row>
    <row r="634" ht="14.25" customHeight="1">
      <c r="G634" s="55"/>
    </row>
    <row r="635" ht="14.25" customHeight="1">
      <c r="G635" s="55"/>
    </row>
    <row r="636" ht="14.25" customHeight="1">
      <c r="G636" s="55"/>
    </row>
    <row r="637" ht="14.25" customHeight="1">
      <c r="G637" s="55"/>
    </row>
    <row r="638" ht="14.25" customHeight="1">
      <c r="G638" s="55"/>
    </row>
    <row r="639" ht="14.25" customHeight="1">
      <c r="G639" s="55"/>
    </row>
    <row r="640" ht="14.25" customHeight="1">
      <c r="G640" s="55"/>
    </row>
    <row r="641" ht="14.25" customHeight="1">
      <c r="G641" s="55"/>
    </row>
    <row r="642" ht="14.25" customHeight="1">
      <c r="G642" s="55"/>
    </row>
    <row r="643" ht="14.25" customHeight="1">
      <c r="G643" s="55"/>
    </row>
    <row r="644" ht="14.25" customHeight="1">
      <c r="G644" s="55"/>
    </row>
    <row r="645" ht="14.25" customHeight="1">
      <c r="G645" s="55"/>
    </row>
    <row r="646" ht="14.25" customHeight="1">
      <c r="G646" s="55"/>
    </row>
    <row r="647" ht="14.25" customHeight="1">
      <c r="G647" s="55"/>
    </row>
    <row r="648" ht="14.25" customHeight="1">
      <c r="G648" s="55"/>
    </row>
    <row r="649" ht="14.25" customHeight="1">
      <c r="G649" s="55"/>
    </row>
    <row r="650" ht="14.25" customHeight="1">
      <c r="G650" s="55"/>
    </row>
    <row r="651" ht="14.25" customHeight="1">
      <c r="G651" s="55"/>
    </row>
    <row r="652" ht="14.25" customHeight="1">
      <c r="G652" s="55"/>
    </row>
    <row r="653" ht="14.25" customHeight="1">
      <c r="G653" s="55"/>
    </row>
    <row r="654" ht="14.25" customHeight="1">
      <c r="G654" s="55"/>
    </row>
    <row r="655" ht="14.25" customHeight="1">
      <c r="G655" s="55"/>
    </row>
    <row r="656" ht="14.25" customHeight="1">
      <c r="G656" s="55"/>
    </row>
    <row r="657" ht="14.25" customHeight="1">
      <c r="G657" s="55"/>
    </row>
    <row r="658" ht="14.25" customHeight="1">
      <c r="G658" s="55"/>
    </row>
    <row r="659" ht="14.25" customHeight="1">
      <c r="G659" s="55"/>
    </row>
    <row r="660" ht="14.25" customHeight="1">
      <c r="G660" s="55"/>
    </row>
    <row r="661" ht="14.25" customHeight="1">
      <c r="G661" s="55"/>
    </row>
    <row r="662" ht="14.25" customHeight="1">
      <c r="G662" s="55"/>
    </row>
    <row r="663" ht="14.25" customHeight="1">
      <c r="G663" s="55"/>
    </row>
    <row r="664" ht="14.25" customHeight="1">
      <c r="G664" s="55"/>
    </row>
    <row r="665" ht="14.25" customHeight="1">
      <c r="G665" s="55"/>
    </row>
    <row r="666" ht="14.25" customHeight="1">
      <c r="G666" s="55"/>
    </row>
    <row r="667" ht="14.25" customHeight="1">
      <c r="G667" s="55"/>
    </row>
    <row r="668" ht="14.25" customHeight="1">
      <c r="G668" s="55"/>
    </row>
    <row r="669" ht="14.25" customHeight="1">
      <c r="G669" s="55"/>
    </row>
    <row r="670" ht="14.25" customHeight="1">
      <c r="G670" s="55"/>
    </row>
    <row r="671" ht="14.25" customHeight="1">
      <c r="G671" s="55"/>
    </row>
    <row r="672" ht="14.25" customHeight="1">
      <c r="G672" s="55"/>
    </row>
    <row r="673" ht="14.25" customHeight="1">
      <c r="G673" s="55"/>
    </row>
    <row r="674" ht="14.25" customHeight="1">
      <c r="G674" s="55"/>
    </row>
    <row r="675" ht="14.25" customHeight="1">
      <c r="G675" s="55"/>
    </row>
    <row r="676" ht="14.25" customHeight="1">
      <c r="G676" s="55"/>
    </row>
    <row r="677" ht="14.25" customHeight="1">
      <c r="G677" s="55"/>
    </row>
    <row r="678" ht="14.25" customHeight="1">
      <c r="G678" s="55"/>
    </row>
    <row r="679" ht="14.25" customHeight="1">
      <c r="G679" s="55"/>
    </row>
    <row r="680" ht="14.25" customHeight="1">
      <c r="G680" s="55"/>
    </row>
    <row r="681" ht="14.25" customHeight="1">
      <c r="G681" s="55"/>
    </row>
    <row r="682" ht="14.25" customHeight="1">
      <c r="G682" s="55"/>
    </row>
    <row r="683" ht="14.25" customHeight="1">
      <c r="G683" s="55"/>
    </row>
    <row r="684" ht="14.25" customHeight="1">
      <c r="G684" s="55"/>
    </row>
    <row r="685" ht="14.25" customHeight="1">
      <c r="G685" s="55"/>
    </row>
    <row r="686" ht="14.25" customHeight="1">
      <c r="G686" s="55"/>
    </row>
    <row r="687" ht="14.25" customHeight="1">
      <c r="G687" s="55"/>
    </row>
    <row r="688" ht="14.25" customHeight="1">
      <c r="G688" s="55"/>
    </row>
    <row r="689" ht="14.25" customHeight="1">
      <c r="G689" s="55"/>
    </row>
    <row r="690" ht="14.25" customHeight="1">
      <c r="G690" s="55"/>
    </row>
    <row r="691" ht="14.25" customHeight="1">
      <c r="G691" s="55"/>
    </row>
    <row r="692" ht="14.25" customHeight="1">
      <c r="G692" s="55"/>
    </row>
    <row r="693" ht="14.25" customHeight="1">
      <c r="G693" s="55"/>
    </row>
    <row r="694" ht="14.25" customHeight="1">
      <c r="G694" s="55"/>
    </row>
    <row r="695" ht="14.25" customHeight="1">
      <c r="G695" s="55"/>
    </row>
    <row r="696" ht="14.25" customHeight="1">
      <c r="G696" s="55"/>
    </row>
    <row r="697" ht="14.25" customHeight="1">
      <c r="G697" s="55"/>
    </row>
    <row r="698" ht="14.25" customHeight="1">
      <c r="G698" s="55"/>
    </row>
    <row r="699" ht="14.25" customHeight="1">
      <c r="G699" s="55"/>
    </row>
    <row r="700" ht="14.25" customHeight="1">
      <c r="G700" s="55"/>
    </row>
    <row r="701" ht="14.25" customHeight="1">
      <c r="G701" s="55"/>
    </row>
    <row r="702" ht="14.25" customHeight="1">
      <c r="G702" s="55"/>
    </row>
    <row r="703" ht="14.25" customHeight="1">
      <c r="G703" s="55"/>
    </row>
    <row r="704" ht="14.25" customHeight="1">
      <c r="G704" s="55"/>
    </row>
    <row r="705" ht="14.25" customHeight="1">
      <c r="G705" s="55"/>
    </row>
    <row r="706" ht="14.25" customHeight="1">
      <c r="G706" s="55"/>
    </row>
    <row r="707" ht="14.25" customHeight="1">
      <c r="G707" s="55"/>
    </row>
    <row r="708" ht="14.25" customHeight="1">
      <c r="G708" s="55"/>
    </row>
    <row r="709" ht="14.25" customHeight="1">
      <c r="G709" s="55"/>
    </row>
    <row r="710" ht="14.25" customHeight="1">
      <c r="G710" s="55"/>
    </row>
    <row r="711" ht="14.25" customHeight="1">
      <c r="G711" s="55"/>
    </row>
    <row r="712" ht="14.25" customHeight="1">
      <c r="G712" s="55"/>
    </row>
    <row r="713" ht="14.25" customHeight="1">
      <c r="G713" s="55"/>
    </row>
    <row r="714" ht="14.25" customHeight="1">
      <c r="G714" s="55"/>
    </row>
    <row r="715" ht="14.25" customHeight="1">
      <c r="G715" s="55"/>
    </row>
    <row r="716" ht="14.25" customHeight="1">
      <c r="G716" s="55"/>
    </row>
    <row r="717" ht="14.25" customHeight="1">
      <c r="G717" s="55"/>
    </row>
    <row r="718" ht="14.25" customHeight="1">
      <c r="G718" s="55"/>
    </row>
    <row r="719" ht="14.25" customHeight="1">
      <c r="G719" s="55"/>
    </row>
    <row r="720" ht="14.25" customHeight="1">
      <c r="G720" s="55"/>
    </row>
    <row r="721" ht="14.25" customHeight="1">
      <c r="G721" s="55"/>
    </row>
    <row r="722" ht="14.25" customHeight="1">
      <c r="G722" s="55"/>
    </row>
    <row r="723" ht="14.25" customHeight="1">
      <c r="G723" s="55"/>
    </row>
    <row r="724" ht="14.25" customHeight="1">
      <c r="G724" s="55"/>
    </row>
    <row r="725" ht="14.25" customHeight="1">
      <c r="G725" s="55"/>
    </row>
    <row r="726" ht="14.25" customHeight="1">
      <c r="G726" s="55"/>
    </row>
    <row r="727" ht="14.25" customHeight="1">
      <c r="G727" s="55"/>
    </row>
    <row r="728" ht="14.25" customHeight="1">
      <c r="G728" s="55"/>
    </row>
    <row r="729" ht="14.25" customHeight="1">
      <c r="G729" s="55"/>
    </row>
    <row r="730" ht="14.25" customHeight="1">
      <c r="G730" s="55"/>
    </row>
    <row r="731" ht="14.25" customHeight="1">
      <c r="G731" s="55"/>
    </row>
    <row r="732" ht="14.25" customHeight="1">
      <c r="G732" s="55"/>
    </row>
    <row r="733" ht="14.25" customHeight="1">
      <c r="G733" s="55"/>
    </row>
    <row r="734" ht="14.25" customHeight="1">
      <c r="G734" s="55"/>
    </row>
    <row r="735" ht="14.25" customHeight="1">
      <c r="G735" s="55"/>
    </row>
    <row r="736" ht="14.25" customHeight="1">
      <c r="G736" s="55"/>
    </row>
    <row r="737" ht="14.25" customHeight="1">
      <c r="G737" s="55"/>
    </row>
    <row r="738" ht="14.25" customHeight="1">
      <c r="G738" s="55"/>
    </row>
    <row r="739" ht="14.25" customHeight="1">
      <c r="G739" s="55"/>
    </row>
    <row r="740" ht="14.25" customHeight="1">
      <c r="G740" s="55"/>
    </row>
    <row r="741" ht="14.25" customHeight="1">
      <c r="G741" s="55"/>
    </row>
    <row r="742" ht="14.25" customHeight="1">
      <c r="G742" s="55"/>
    </row>
    <row r="743" ht="14.25" customHeight="1">
      <c r="G743" s="55"/>
    </row>
    <row r="744" ht="14.25" customHeight="1">
      <c r="G744" s="55"/>
    </row>
    <row r="745" ht="14.25" customHeight="1">
      <c r="G745" s="55"/>
    </row>
    <row r="746" ht="14.25" customHeight="1">
      <c r="G746" s="55"/>
    </row>
    <row r="747" ht="14.25" customHeight="1">
      <c r="G747" s="55"/>
    </row>
    <row r="748" ht="14.25" customHeight="1">
      <c r="G748" s="55"/>
    </row>
    <row r="749" ht="14.25" customHeight="1">
      <c r="G749" s="55"/>
    </row>
    <row r="750" ht="14.25" customHeight="1">
      <c r="G750" s="55"/>
    </row>
    <row r="751" ht="14.25" customHeight="1">
      <c r="G751" s="55"/>
    </row>
    <row r="752" ht="14.25" customHeight="1">
      <c r="G752" s="55"/>
    </row>
    <row r="753" ht="14.25" customHeight="1">
      <c r="G753" s="55"/>
    </row>
    <row r="754" ht="14.25" customHeight="1">
      <c r="G754" s="55"/>
    </row>
    <row r="755" ht="14.25" customHeight="1">
      <c r="G755" s="55"/>
    </row>
    <row r="756" ht="14.25" customHeight="1">
      <c r="G756" s="55"/>
    </row>
    <row r="757" ht="14.25" customHeight="1">
      <c r="G757" s="55"/>
    </row>
    <row r="758" ht="14.25" customHeight="1">
      <c r="G758" s="55"/>
    </row>
    <row r="759" ht="14.25" customHeight="1">
      <c r="G759" s="55"/>
    </row>
    <row r="760" ht="14.25" customHeight="1">
      <c r="G760" s="55"/>
    </row>
    <row r="761" ht="14.25" customHeight="1">
      <c r="G761" s="55"/>
    </row>
    <row r="762" ht="14.25" customHeight="1">
      <c r="G762" s="55"/>
    </row>
    <row r="763" ht="14.25" customHeight="1">
      <c r="G763" s="55"/>
    </row>
    <row r="764" ht="14.25" customHeight="1">
      <c r="G764" s="55"/>
    </row>
    <row r="765" ht="14.25" customHeight="1">
      <c r="G765" s="55"/>
    </row>
    <row r="766" ht="14.25" customHeight="1">
      <c r="G766" s="55"/>
    </row>
    <row r="767" ht="14.25" customHeight="1">
      <c r="G767" s="55"/>
    </row>
    <row r="768" ht="14.25" customHeight="1">
      <c r="G768" s="55"/>
    </row>
    <row r="769" ht="14.25" customHeight="1">
      <c r="G769" s="55"/>
    </row>
    <row r="770" ht="14.25" customHeight="1">
      <c r="G770" s="55"/>
    </row>
    <row r="771" ht="14.25" customHeight="1">
      <c r="G771" s="55"/>
    </row>
    <row r="772" ht="14.25" customHeight="1">
      <c r="G772" s="55"/>
    </row>
    <row r="773" ht="14.25" customHeight="1">
      <c r="G773" s="55"/>
    </row>
    <row r="774" ht="14.25" customHeight="1">
      <c r="G774" s="55"/>
    </row>
    <row r="775" ht="14.25" customHeight="1">
      <c r="G775" s="55"/>
    </row>
    <row r="776" ht="14.25" customHeight="1">
      <c r="G776" s="55"/>
    </row>
    <row r="777" ht="14.25" customHeight="1">
      <c r="G777" s="55"/>
    </row>
    <row r="778" ht="14.25" customHeight="1">
      <c r="G778" s="55"/>
    </row>
    <row r="779" ht="14.25" customHeight="1">
      <c r="G779" s="55"/>
    </row>
    <row r="780" ht="14.25" customHeight="1">
      <c r="G780" s="55"/>
    </row>
    <row r="781" ht="14.25" customHeight="1">
      <c r="G781" s="55"/>
    </row>
    <row r="782" ht="14.25" customHeight="1">
      <c r="G782" s="55"/>
    </row>
    <row r="783" ht="14.25" customHeight="1">
      <c r="G783" s="55"/>
    </row>
    <row r="784" ht="14.25" customHeight="1">
      <c r="G784" s="55"/>
    </row>
    <row r="785" ht="14.25" customHeight="1">
      <c r="G785" s="55"/>
    </row>
    <row r="786" ht="14.25" customHeight="1">
      <c r="G786" s="55"/>
    </row>
    <row r="787" ht="14.25" customHeight="1">
      <c r="G787" s="55"/>
    </row>
    <row r="788" ht="14.25" customHeight="1">
      <c r="G788" s="55"/>
    </row>
    <row r="789" ht="14.25" customHeight="1">
      <c r="G789" s="55"/>
    </row>
    <row r="790" ht="14.25" customHeight="1">
      <c r="G790" s="55"/>
    </row>
    <row r="791" ht="14.25" customHeight="1">
      <c r="G791" s="55"/>
    </row>
    <row r="792" ht="14.25" customHeight="1">
      <c r="G792" s="55"/>
    </row>
    <row r="793" ht="14.25" customHeight="1">
      <c r="G793" s="55"/>
    </row>
    <row r="794" ht="14.25" customHeight="1">
      <c r="G794" s="55"/>
    </row>
    <row r="795" ht="14.25" customHeight="1">
      <c r="G795" s="55"/>
    </row>
    <row r="796" ht="14.25" customHeight="1">
      <c r="G796" s="55"/>
    </row>
    <row r="797" ht="14.25" customHeight="1">
      <c r="G797" s="55"/>
    </row>
    <row r="798" ht="14.25" customHeight="1">
      <c r="G798" s="55"/>
    </row>
    <row r="799" ht="14.25" customHeight="1">
      <c r="G799" s="55"/>
    </row>
    <row r="800" ht="14.25" customHeight="1">
      <c r="G800" s="55"/>
    </row>
    <row r="801" ht="14.25" customHeight="1">
      <c r="G801" s="55"/>
    </row>
    <row r="802" ht="14.25" customHeight="1">
      <c r="G802" s="55"/>
    </row>
    <row r="803" ht="14.25" customHeight="1">
      <c r="G803" s="55"/>
    </row>
    <row r="804" ht="14.25" customHeight="1">
      <c r="G804" s="55"/>
    </row>
    <row r="805" ht="14.25" customHeight="1">
      <c r="G805" s="55"/>
    </row>
    <row r="806" ht="14.25" customHeight="1">
      <c r="G806" s="55"/>
    </row>
    <row r="807" ht="14.25" customHeight="1">
      <c r="G807" s="55"/>
    </row>
    <row r="808" ht="14.25" customHeight="1">
      <c r="G808" s="55"/>
    </row>
    <row r="809" ht="14.25" customHeight="1">
      <c r="G809" s="55"/>
    </row>
    <row r="810" ht="14.25" customHeight="1">
      <c r="G810" s="55"/>
    </row>
    <row r="811" ht="14.25" customHeight="1">
      <c r="G811" s="55"/>
    </row>
    <row r="812" ht="14.25" customHeight="1">
      <c r="G812" s="55"/>
    </row>
    <row r="813" ht="14.25" customHeight="1">
      <c r="G813" s="55"/>
    </row>
    <row r="814" ht="14.25" customHeight="1">
      <c r="G814" s="55"/>
    </row>
    <row r="815" ht="14.25" customHeight="1">
      <c r="G815" s="55"/>
    </row>
    <row r="816" ht="14.25" customHeight="1">
      <c r="G816" s="55"/>
    </row>
    <row r="817" ht="14.25" customHeight="1">
      <c r="G817" s="55"/>
    </row>
    <row r="818" ht="14.25" customHeight="1">
      <c r="G818" s="55"/>
    </row>
    <row r="819" ht="14.25" customHeight="1">
      <c r="G819" s="55"/>
    </row>
    <row r="820" ht="14.25" customHeight="1">
      <c r="G820" s="55"/>
    </row>
    <row r="821" ht="14.25" customHeight="1">
      <c r="G821" s="55"/>
    </row>
    <row r="822" ht="14.25" customHeight="1">
      <c r="G822" s="55"/>
    </row>
    <row r="823" ht="14.25" customHeight="1">
      <c r="G823" s="55"/>
    </row>
    <row r="824" ht="14.25" customHeight="1">
      <c r="G824" s="55"/>
    </row>
    <row r="825" ht="14.25" customHeight="1">
      <c r="G825" s="55"/>
    </row>
    <row r="826" ht="14.25" customHeight="1">
      <c r="G826" s="55"/>
    </row>
    <row r="827" ht="14.25" customHeight="1">
      <c r="G827" s="55"/>
    </row>
    <row r="828" ht="14.25" customHeight="1">
      <c r="G828" s="55"/>
    </row>
    <row r="829" ht="14.25" customHeight="1">
      <c r="G829" s="55"/>
    </row>
    <row r="830" ht="14.25" customHeight="1">
      <c r="G830" s="55"/>
    </row>
    <row r="831" ht="14.25" customHeight="1">
      <c r="G831" s="55"/>
    </row>
    <row r="832" ht="14.25" customHeight="1">
      <c r="G832" s="55"/>
    </row>
    <row r="833" ht="14.25" customHeight="1">
      <c r="G833" s="55"/>
    </row>
    <row r="834" ht="14.25" customHeight="1">
      <c r="G834" s="55"/>
    </row>
    <row r="835" ht="14.25" customHeight="1">
      <c r="G835" s="55"/>
    </row>
    <row r="836" ht="14.25" customHeight="1">
      <c r="G836" s="55"/>
    </row>
    <row r="837" ht="14.25" customHeight="1">
      <c r="G837" s="55"/>
    </row>
    <row r="838" ht="14.25" customHeight="1">
      <c r="G838" s="55"/>
    </row>
    <row r="839" ht="14.25" customHeight="1">
      <c r="G839" s="55"/>
    </row>
    <row r="840" ht="14.25" customHeight="1">
      <c r="G840" s="55"/>
    </row>
    <row r="841" ht="14.25" customHeight="1">
      <c r="G841" s="55"/>
    </row>
    <row r="842" ht="14.25" customHeight="1">
      <c r="G842" s="55"/>
    </row>
    <row r="843" ht="14.25" customHeight="1">
      <c r="G843" s="55"/>
    </row>
    <row r="844" ht="14.25" customHeight="1">
      <c r="G844" s="55"/>
    </row>
    <row r="845" ht="14.25" customHeight="1">
      <c r="G845" s="55"/>
    </row>
    <row r="846" ht="14.25" customHeight="1">
      <c r="G846" s="55"/>
    </row>
    <row r="847" ht="14.25" customHeight="1">
      <c r="G847" s="55"/>
    </row>
    <row r="848" ht="14.25" customHeight="1">
      <c r="G848" s="55"/>
    </row>
    <row r="849" ht="14.25" customHeight="1">
      <c r="G849" s="55"/>
    </row>
    <row r="850" ht="14.25" customHeight="1">
      <c r="G850" s="55"/>
    </row>
    <row r="851" ht="14.25" customHeight="1">
      <c r="G851" s="55"/>
    </row>
    <row r="852" ht="14.25" customHeight="1">
      <c r="G852" s="55"/>
    </row>
    <row r="853" ht="14.25" customHeight="1">
      <c r="G853" s="55"/>
    </row>
    <row r="854" ht="14.25" customHeight="1">
      <c r="G854" s="55"/>
    </row>
    <row r="855" ht="14.25" customHeight="1">
      <c r="G855" s="55"/>
    </row>
    <row r="856" ht="14.25" customHeight="1">
      <c r="G856" s="55"/>
    </row>
    <row r="857" ht="14.25" customHeight="1">
      <c r="G857" s="55"/>
    </row>
    <row r="858" ht="14.25" customHeight="1">
      <c r="G858" s="55"/>
    </row>
    <row r="859" ht="14.25" customHeight="1">
      <c r="G859" s="55"/>
    </row>
    <row r="860" ht="14.25" customHeight="1">
      <c r="G860" s="55"/>
    </row>
    <row r="861" ht="14.25" customHeight="1">
      <c r="G861" s="55"/>
    </row>
    <row r="862" ht="14.25" customHeight="1">
      <c r="G862" s="55"/>
    </row>
    <row r="863" ht="14.25" customHeight="1">
      <c r="G863" s="55"/>
    </row>
    <row r="864" ht="14.25" customHeight="1">
      <c r="G864" s="55"/>
    </row>
    <row r="865" ht="14.25" customHeight="1">
      <c r="G865" s="55"/>
    </row>
    <row r="866" ht="14.25" customHeight="1">
      <c r="G866" s="55"/>
    </row>
    <row r="867" ht="14.25" customHeight="1">
      <c r="G867" s="55"/>
    </row>
    <row r="868" ht="14.25" customHeight="1">
      <c r="G868" s="55"/>
    </row>
    <row r="869" ht="14.25" customHeight="1">
      <c r="G869" s="55"/>
    </row>
    <row r="870" ht="14.25" customHeight="1">
      <c r="G870" s="55"/>
    </row>
    <row r="871" ht="14.25" customHeight="1">
      <c r="G871" s="55"/>
    </row>
    <row r="872" ht="14.25" customHeight="1">
      <c r="G872" s="55"/>
    </row>
    <row r="873" ht="14.25" customHeight="1">
      <c r="G873" s="55"/>
    </row>
    <row r="874" ht="14.25" customHeight="1">
      <c r="G874" s="55"/>
    </row>
    <row r="875" ht="14.25" customHeight="1">
      <c r="G875" s="55"/>
    </row>
    <row r="876" ht="14.25" customHeight="1">
      <c r="G876" s="55"/>
    </row>
    <row r="877" ht="14.25" customHeight="1">
      <c r="G877" s="55"/>
    </row>
    <row r="878" ht="14.25" customHeight="1">
      <c r="G878" s="55"/>
    </row>
    <row r="879" ht="14.25" customHeight="1">
      <c r="G879" s="55"/>
    </row>
    <row r="880" ht="14.25" customHeight="1">
      <c r="G880" s="55"/>
    </row>
    <row r="881" ht="14.25" customHeight="1">
      <c r="G881" s="55"/>
    </row>
    <row r="882" ht="14.25" customHeight="1">
      <c r="G882" s="55"/>
    </row>
    <row r="883" ht="14.25" customHeight="1">
      <c r="G883" s="55"/>
    </row>
    <row r="884" ht="14.25" customHeight="1">
      <c r="G884" s="55"/>
    </row>
    <row r="885" ht="14.25" customHeight="1">
      <c r="G885" s="55"/>
    </row>
    <row r="886" ht="14.25" customHeight="1">
      <c r="G886" s="55"/>
    </row>
    <row r="887" ht="14.25" customHeight="1">
      <c r="G887" s="55"/>
    </row>
    <row r="888" ht="14.25" customHeight="1">
      <c r="G888" s="55"/>
    </row>
    <row r="889" ht="14.25" customHeight="1">
      <c r="G889" s="55"/>
    </row>
    <row r="890" ht="14.25" customHeight="1">
      <c r="G890" s="55"/>
    </row>
    <row r="891" ht="14.25" customHeight="1">
      <c r="G891" s="55"/>
    </row>
    <row r="892" ht="14.25" customHeight="1">
      <c r="G892" s="55"/>
    </row>
    <row r="893" ht="14.25" customHeight="1">
      <c r="G893" s="55"/>
    </row>
    <row r="894" ht="14.25" customHeight="1">
      <c r="G894" s="55"/>
    </row>
    <row r="895" ht="14.25" customHeight="1">
      <c r="G895" s="55"/>
    </row>
    <row r="896" ht="14.25" customHeight="1">
      <c r="G896" s="55"/>
    </row>
    <row r="897" ht="14.25" customHeight="1">
      <c r="G897" s="55"/>
    </row>
    <row r="898" ht="14.25" customHeight="1">
      <c r="G898" s="55"/>
    </row>
    <row r="899" ht="14.25" customHeight="1">
      <c r="G899" s="55"/>
    </row>
    <row r="900" ht="14.25" customHeight="1">
      <c r="G900" s="55"/>
    </row>
    <row r="901" ht="14.25" customHeight="1">
      <c r="G901" s="55"/>
    </row>
    <row r="902" ht="14.25" customHeight="1">
      <c r="G902" s="55"/>
    </row>
    <row r="903" ht="14.25" customHeight="1">
      <c r="G903" s="55"/>
    </row>
    <row r="904" ht="14.25" customHeight="1">
      <c r="G904" s="55"/>
    </row>
    <row r="905" ht="14.25" customHeight="1">
      <c r="G905" s="55"/>
    </row>
    <row r="906" ht="14.25" customHeight="1">
      <c r="G906" s="55"/>
    </row>
    <row r="907" ht="14.25" customHeight="1">
      <c r="G907" s="55"/>
    </row>
    <row r="908" ht="14.25" customHeight="1">
      <c r="G908" s="55"/>
    </row>
    <row r="909" ht="14.25" customHeight="1">
      <c r="G909" s="55"/>
    </row>
  </sheetData>
  <mergeCells count="5">
    <mergeCell ref="F6:G6"/>
    <mergeCell ref="F8:G8"/>
    <mergeCell ref="B10:B13"/>
    <mergeCell ref="B16:B19"/>
    <mergeCell ref="B21:B22"/>
  </mergeCells>
  <conditionalFormatting sqref="C1">
    <cfRule type="notContainsBlanks" dxfId="8" priority="1">
      <formula>LEN(TRIM(C1))&gt;0</formula>
    </cfRule>
  </conditionalFormatting>
  <dataValidations>
    <dataValidation type="list" allowBlank="1" sqref="C36">
      <formula1>"Gross Margin,Net Margin"</formula1>
    </dataValidation>
    <dataValidation type="list" allowBlank="1" sqref="C3">
      <formula1>"Nómina,Prestación de Servicios,Deel/Ontop"</formula1>
    </dataValidation>
    <dataValidation type="list" allowBlank="1" showErrorMessage="1" sqref="D25:D32">
      <formula1>"Nómina,P. Servicios"</formula1>
    </dataValidation>
    <dataValidation type="list" allowBlank="1" sqref="B25:B32">
      <formula1>'Parámetros'!$A$2:$A$113</formula1>
    </dataValidation>
    <dataValidation type="list" allowBlank="1" sqref="C2">
      <formula1>'Parámetros'!$A$118:$A$123</formula1>
    </dataValidation>
    <dataValidation type="list" allowBlank="1" sqref="D36">
      <formula1>"COP,USD"</formula1>
    </dataValidation>
  </dataValidations>
  <printOptions/>
  <pageMargins bottom="0.75" footer="0.0" header="0.0" left="0.7" right="0.7" top="0.75"/>
  <pageSetup orientation="portrait"/>
  <drawing r:id="rId1"/>
  <tableParts count="3">
    <tablePart r:id="rId5"/>
    <tablePart r:id="rId6"/>
    <tablePart r:id="rId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4.14"/>
    <col customWidth="1" min="2" max="2" width="38.43"/>
    <col customWidth="1" min="3" max="3" width="23.14"/>
    <col customWidth="1" min="4" max="4" width="16.29"/>
    <col customWidth="1" min="5" max="5" width="14.86"/>
    <col customWidth="1" min="6" max="6" width="18.0"/>
    <col customWidth="1" min="7" max="7" width="16.29"/>
    <col customWidth="1" min="8" max="8" width="15.14"/>
    <col customWidth="1" min="9" max="9" width="12.0"/>
    <col customWidth="1" min="10" max="10" width="17.43"/>
    <col customWidth="1" min="11" max="11" width="14.86"/>
    <col customWidth="1" min="12" max="12" width="14.71"/>
    <col customWidth="1" min="13" max="13" width="17.29"/>
    <col customWidth="1" min="14" max="14" width="15.57"/>
    <col customWidth="1" min="15" max="15" width="10.71"/>
    <col customWidth="1" min="16" max="16" width="23.14"/>
    <col customWidth="1" min="17" max="17" width="17.57"/>
    <col customWidth="1" min="18" max="18" width="15.71"/>
    <col customWidth="1" min="19" max="19" width="18.86"/>
    <col customWidth="1" hidden="1" min="20" max="20" width="13.71"/>
    <col customWidth="1" hidden="1" min="21" max="21" width="13.43"/>
    <col customWidth="1" hidden="1" min="22" max="32" width="10.71"/>
  </cols>
  <sheetData>
    <row r="1" ht="8.25" customHeight="1">
      <c r="A1" s="200"/>
      <c r="B1" s="200"/>
      <c r="C1" s="200"/>
      <c r="D1" s="200"/>
      <c r="E1" s="200"/>
      <c r="F1" s="200"/>
      <c r="G1" s="201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</row>
    <row r="2" ht="15.75" customHeight="1">
      <c r="A2" s="200"/>
      <c r="B2" s="202" t="s">
        <v>150</v>
      </c>
      <c r="C2" s="203" t="s">
        <v>93</v>
      </c>
      <c r="D2" s="16"/>
      <c r="E2" s="200"/>
      <c r="F2" s="200"/>
      <c r="G2" s="205"/>
      <c r="H2" s="206"/>
      <c r="I2" s="206"/>
      <c r="J2" s="207"/>
      <c r="K2" s="206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0"/>
      <c r="AD2" s="200"/>
      <c r="AE2" s="200"/>
      <c r="AF2" s="200"/>
    </row>
    <row r="3" ht="15.75" customHeight="1">
      <c r="A3" s="200"/>
      <c r="B3" s="202" t="s">
        <v>25</v>
      </c>
      <c r="C3" s="208" t="s">
        <v>151</v>
      </c>
      <c r="D3" s="16"/>
      <c r="E3" s="200"/>
      <c r="F3" s="209"/>
      <c r="G3" s="210"/>
      <c r="H3" s="200"/>
      <c r="I3" s="200"/>
      <c r="J3" s="211"/>
      <c r="K3" s="306" t="s">
        <v>185</v>
      </c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200"/>
    </row>
    <row r="4" ht="15.75" customHeight="1">
      <c r="A4" s="200"/>
      <c r="B4" s="202" t="s">
        <v>27</v>
      </c>
      <c r="C4" s="307">
        <f>VLOOKUP(C2,'Parámetros'!$A$118:$B$124,2,0)*IF(C3="Nómina",1.38522,IF(C3="Prestación de Servicios",1,1.15))</f>
        <v>0.09775</v>
      </c>
      <c r="D4" s="16"/>
      <c r="E4" s="200"/>
      <c r="H4" s="200"/>
      <c r="I4" s="308"/>
      <c r="J4" s="309" t="s">
        <v>186</v>
      </c>
      <c r="K4" s="309" t="s">
        <v>187</v>
      </c>
      <c r="L4" s="309" t="s">
        <v>188</v>
      </c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</row>
    <row r="5" ht="15.75" customHeight="1">
      <c r="A5" s="200"/>
      <c r="B5" s="202" t="s">
        <v>28</v>
      </c>
      <c r="C5" s="218">
        <v>0.0</v>
      </c>
      <c r="D5" s="16"/>
      <c r="F5" s="219" t="s">
        <v>155</v>
      </c>
      <c r="G5" s="220">
        <f>VLOOKUP($C$2,'Parámetros'!$A$118:$D$124,3,0)</f>
        <v>0.3</v>
      </c>
      <c r="I5" s="309" t="s">
        <v>189</v>
      </c>
      <c r="J5" s="176">
        <f>4500000*138.3522%</f>
        <v>6225849</v>
      </c>
      <c r="K5" s="310">
        <f t="shared" ref="K5:K7" si="1">J5/$N$6</f>
        <v>7204767.448</v>
      </c>
      <c r="L5" s="311">
        <f t="shared" ref="L5:L8" si="2">(K5-J5)/K5</f>
        <v>0.1358709292</v>
      </c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</row>
    <row r="6" ht="15.75" customHeight="1">
      <c r="A6" s="200"/>
      <c r="B6" s="202" t="s">
        <v>156</v>
      </c>
      <c r="C6" s="218">
        <v>0.0</v>
      </c>
      <c r="D6" s="16"/>
      <c r="F6" s="221" t="str">
        <f>IF(D11&gt;=G5,"Dentro del margen","¡Por debajo del margen!")</f>
        <v>Dentro del margen</v>
      </c>
      <c r="I6" s="309" t="s">
        <v>190</v>
      </c>
      <c r="J6" s="176">
        <f>2600000*138.3522%</f>
        <v>3597157.2</v>
      </c>
      <c r="K6" s="310">
        <f t="shared" si="1"/>
        <v>4162754.525</v>
      </c>
      <c r="L6" s="311">
        <f t="shared" si="2"/>
        <v>0.1358709292</v>
      </c>
      <c r="N6" s="201">
        <f>1-(K8-J8)/K8</f>
        <v>0.8641290708</v>
      </c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0"/>
      <c r="AA6" s="200"/>
      <c r="AB6" s="200"/>
      <c r="AC6" s="200"/>
      <c r="AD6" s="200"/>
      <c r="AE6" s="200"/>
      <c r="AF6" s="200"/>
    </row>
    <row r="7" ht="15.75" customHeight="1">
      <c r="A7" s="200"/>
      <c r="B7" s="202" t="s">
        <v>157</v>
      </c>
      <c r="C7" s="222"/>
      <c r="D7" s="16"/>
      <c r="E7" s="200"/>
      <c r="H7" s="200"/>
      <c r="I7" s="309" t="s">
        <v>191</v>
      </c>
      <c r="J7" s="176">
        <f>4000000*138.3522%</f>
        <v>5534088</v>
      </c>
      <c r="K7" s="310">
        <f t="shared" si="1"/>
        <v>6404237.731</v>
      </c>
      <c r="L7" s="311">
        <f t="shared" si="2"/>
        <v>0.1358709292</v>
      </c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  <c r="AA7" s="200"/>
      <c r="AB7" s="200"/>
      <c r="AC7" s="200"/>
      <c r="AD7" s="200"/>
      <c r="AE7" s="200"/>
      <c r="AF7" s="200"/>
    </row>
    <row r="8" ht="15.75" customHeight="1">
      <c r="A8" s="200"/>
      <c r="B8" s="202" t="s">
        <v>158</v>
      </c>
      <c r="C8" s="208">
        <v>1.0</v>
      </c>
      <c r="D8" s="16"/>
      <c r="E8" s="200"/>
      <c r="H8" s="223"/>
      <c r="I8" s="223"/>
      <c r="J8" s="312">
        <f>SUM(J5:J7)</f>
        <v>15357094.2</v>
      </c>
      <c r="K8" s="313">
        <f>4800*J15</f>
        <v>17771759.7</v>
      </c>
      <c r="L8" s="314">
        <f t="shared" si="2"/>
        <v>0.1358709292</v>
      </c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</row>
    <row r="9" ht="15.75" customHeight="1">
      <c r="A9" s="200"/>
      <c r="B9" s="224"/>
      <c r="C9" s="16"/>
      <c r="D9" s="16"/>
      <c r="E9" s="200"/>
      <c r="F9" s="202" t="s">
        <v>44</v>
      </c>
      <c r="G9" s="225" t="s">
        <v>45</v>
      </c>
      <c r="H9" s="223"/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200"/>
      <c r="AC9" s="200"/>
      <c r="AD9" s="200"/>
      <c r="AE9" s="200"/>
      <c r="AF9" s="200"/>
    </row>
    <row r="10" ht="18.75" customHeight="1">
      <c r="B10" s="226" t="s">
        <v>7</v>
      </c>
      <c r="C10" s="17" t="s">
        <v>6</v>
      </c>
      <c r="D10" s="227">
        <f>F10*C4</f>
        <v>18851.78571</v>
      </c>
      <c r="E10" s="228" t="s">
        <v>159</v>
      </c>
      <c r="F10" s="229">
        <f>((C54+C50+C52)/((1-D11-'Parámetros'!L8*C5)))*IF(C6=1,102.4%,1)-C52-C54</f>
        <v>192857.1429</v>
      </c>
      <c r="G10" s="230">
        <f>F10/'Parámetros'!$L$3</f>
        <v>54.32595573</v>
      </c>
      <c r="H10" s="211"/>
      <c r="M10" s="23"/>
      <c r="N10" s="24"/>
      <c r="O10" s="24"/>
    </row>
    <row r="11" ht="18.75" customHeight="1">
      <c r="B11" s="27"/>
      <c r="C11" s="17" t="s">
        <v>9</v>
      </c>
      <c r="D11" s="231">
        <v>0.3</v>
      </c>
      <c r="E11" s="228" t="s">
        <v>160</v>
      </c>
      <c r="F11" s="229">
        <f>F10/C8</f>
        <v>192857.1429</v>
      </c>
      <c r="G11" s="230">
        <f>F11/'Parámetros'!$L$3</f>
        <v>54.32595573</v>
      </c>
      <c r="I11" s="315">
        <f>J8/70%</f>
        <v>21938706</v>
      </c>
      <c r="J11" s="200">
        <f>I11/4800</f>
        <v>4570.56375</v>
      </c>
      <c r="M11" s="23"/>
      <c r="N11" s="24"/>
      <c r="O11" s="24"/>
    </row>
    <row r="12" ht="18.75" customHeight="1">
      <c r="B12" s="27"/>
      <c r="C12" s="17" t="s">
        <v>15</v>
      </c>
      <c r="D12" s="227">
        <f>F10*'Parámetros'!L5</f>
        <v>1330.714286</v>
      </c>
      <c r="E12" s="228" t="s">
        <v>161</v>
      </c>
      <c r="F12" s="229">
        <f>F10/SUM(D39:D45)</f>
        <v>1071.428571</v>
      </c>
      <c r="G12" s="230">
        <f>G10/SUM(D39:D45)</f>
        <v>0.3018108652</v>
      </c>
      <c r="I12" s="177">
        <f>J8</f>
        <v>15357094.2</v>
      </c>
      <c r="O12" s="28"/>
      <c r="P12" s="28"/>
      <c r="Q12" s="28"/>
    </row>
    <row r="13" ht="14.25" customHeight="1">
      <c r="B13" s="43"/>
      <c r="C13" s="17" t="s">
        <v>18</v>
      </c>
      <c r="D13" s="240">
        <f>(F10-C55-D12-D10-C5*'Parámetros'!L8*F10)/F10</f>
        <v>-1.437983333</v>
      </c>
      <c r="G13" s="55"/>
      <c r="I13" s="23">
        <f>I11-I12</f>
        <v>6581611.8</v>
      </c>
      <c r="J13" s="288">
        <f>I13/I11</f>
        <v>0.3</v>
      </c>
      <c r="L13" s="32"/>
      <c r="M13" s="33"/>
      <c r="O13" s="28"/>
      <c r="P13" s="28"/>
      <c r="Q13" s="28"/>
    </row>
    <row r="14" ht="14.25" customHeight="1">
      <c r="D14" s="235"/>
      <c r="F14" s="236"/>
      <c r="G14" s="55"/>
      <c r="H14" s="237"/>
      <c r="L14" s="32"/>
      <c r="M14" s="37"/>
      <c r="N14" s="38"/>
      <c r="O14" s="39"/>
    </row>
    <row r="15" ht="14.25" customHeight="1">
      <c r="F15" s="236"/>
      <c r="G15" s="55"/>
      <c r="I15" s="78">
        <f>I11/J15</f>
        <v>5925.456486</v>
      </c>
      <c r="J15" s="78">
        <f>'Parámetros'!S9</f>
        <v>3702.449938</v>
      </c>
      <c r="L15" s="22"/>
    </row>
    <row r="16" ht="15.75" customHeight="1">
      <c r="B16" s="226" t="s">
        <v>22</v>
      </c>
      <c r="C16" s="17" t="s">
        <v>6</v>
      </c>
      <c r="D16" s="227">
        <f>F16*C4</f>
        <v>78211.87065</v>
      </c>
      <c r="E16" s="228" t="s">
        <v>159</v>
      </c>
      <c r="F16" s="229">
        <f>+(C55/(1-C4-D17-'Parámetros'!L5-C5*'Parámetros'!L8))*IF(C6=1,102.4%,1)</f>
        <v>800121.4389</v>
      </c>
      <c r="G16" s="230">
        <f>F16/'Parámetros'!L3</f>
        <v>225.3863208</v>
      </c>
      <c r="L16" s="22"/>
    </row>
    <row r="17" ht="16.5" customHeight="1">
      <c r="B17" s="27"/>
      <c r="C17" s="17" t="s">
        <v>18</v>
      </c>
      <c r="D17" s="231">
        <v>0.3329353737535529</v>
      </c>
      <c r="E17" s="228" t="s">
        <v>160</v>
      </c>
      <c r="F17" s="229">
        <f>F16/C8</f>
        <v>800121.4389</v>
      </c>
      <c r="G17" s="230">
        <f>G16/C8</f>
        <v>225.3863208</v>
      </c>
      <c r="L17" s="32"/>
      <c r="M17" s="33"/>
    </row>
    <row r="18" ht="17.25" customHeight="1">
      <c r="B18" s="27"/>
      <c r="C18" s="17" t="s">
        <v>15</v>
      </c>
      <c r="D18" s="227">
        <f>F16*'Parámetros'!L5</f>
        <v>5520.837928</v>
      </c>
      <c r="E18" s="228" t="s">
        <v>161</v>
      </c>
      <c r="F18" s="229">
        <f>F16/SUM(D39:D45)</f>
        <v>4445.119105</v>
      </c>
      <c r="G18" s="230">
        <f>G16/SUM(D39:D45)</f>
        <v>1.252146227</v>
      </c>
      <c r="L18" s="22"/>
      <c r="M18" s="55"/>
    </row>
    <row r="19" ht="14.25" customHeight="1">
      <c r="B19" s="43"/>
      <c r="C19" s="17" t="s">
        <v>9</v>
      </c>
      <c r="D19" s="240">
        <f>(F16-C50-C52-C54-C5*'Parámetros'!L8*F16)/F16</f>
        <v>0.4375853738</v>
      </c>
      <c r="E19" s="241"/>
      <c r="G19" s="55"/>
    </row>
    <row r="20" ht="14.25" customHeight="1">
      <c r="G20" s="55"/>
    </row>
    <row r="21" ht="14.25" customHeight="1">
      <c r="B21" s="243" t="str">
        <f>'Parámetros'!B149</f>
        <v>Considerar como mínimo por cada Dev: 
 PM:33%, QA:20%, Diseño:10%</v>
      </c>
      <c r="C21" s="244"/>
      <c r="G21" s="55"/>
      <c r="M21" s="245"/>
    </row>
    <row r="22" ht="15.75" customHeight="1">
      <c r="B22" s="246"/>
      <c r="C22" s="244"/>
      <c r="G22" s="55"/>
    </row>
    <row r="23" ht="15.75" customHeight="1">
      <c r="E23" s="247">
        <f>SUM(E25:E32)</f>
        <v>1</v>
      </c>
      <c r="G23" s="248"/>
    </row>
    <row r="24" ht="14.25" customHeight="1">
      <c r="B24" s="249" t="s">
        <v>31</v>
      </c>
      <c r="C24" s="249" t="s">
        <v>32</v>
      </c>
      <c r="D24" s="249" t="s">
        <v>33</v>
      </c>
      <c r="E24" s="250" t="s">
        <v>35</v>
      </c>
      <c r="F24" s="250" t="s">
        <v>164</v>
      </c>
      <c r="G24" s="250" t="s">
        <v>165</v>
      </c>
      <c r="H24" s="250" t="s">
        <v>37</v>
      </c>
      <c r="I24" s="146"/>
      <c r="J24" s="146"/>
      <c r="L24" s="67"/>
    </row>
    <row r="25" ht="14.25" customHeight="1">
      <c r="A25" s="251">
        <f>IFERROR(__xludf.DUMMYFUNCTION("COUNTIF(SPLIT(B25,"" ""),""Developer"")"),0.0)</f>
        <v>0</v>
      </c>
      <c r="B25" s="252" t="s">
        <v>192</v>
      </c>
      <c r="C25" s="68" t="str">
        <f>IFERROR(VLOOKUP(B25,'Parámetros'!A$1:B113,2, FALSE),"")</f>
        <v/>
      </c>
      <c r="D25" s="208" t="s">
        <v>41</v>
      </c>
      <c r="E25" s="253">
        <v>1.0</v>
      </c>
      <c r="F25" s="68">
        <f>+IFERROR(IF(D25="Nómina",C25*1.38352,C25),"")*E25</f>
        <v>0</v>
      </c>
      <c r="G25" s="68">
        <f t="shared" ref="G25:G32" si="3">F25*C$8</f>
        <v>0</v>
      </c>
      <c r="H25" s="254">
        <f>F25/(AVERAGE('Parámetros'!$F$5:$F$6)+$F$33)</f>
        <v>0</v>
      </c>
      <c r="I25" s="146"/>
      <c r="J25" s="146"/>
      <c r="L25" s="73"/>
    </row>
    <row r="26" ht="14.25" customHeight="1">
      <c r="A26" s="251">
        <f>IFERROR(__xludf.DUMMYFUNCTION("COUNTIF(SPLIT(B26,"" ""),""Developer"")"),0.0)</f>
        <v>0</v>
      </c>
      <c r="B26" s="316"/>
      <c r="C26" s="68" t="str">
        <f>IFERROR(VLOOKUP(B26,'Parámetros'!A$1:B113,2, FALSE),"")</f>
        <v/>
      </c>
      <c r="D26" s="208" t="s">
        <v>41</v>
      </c>
      <c r="E26" s="317"/>
      <c r="F26" s="68">
        <f t="shared" ref="F26:F32" si="4">+IFERROR(IF(D26="Nómina",C26*1.38352,C26),"")*E26*105%</f>
        <v>0</v>
      </c>
      <c r="G26" s="68">
        <f t="shared" si="3"/>
        <v>0</v>
      </c>
      <c r="H26" s="254">
        <f>G26/(AVERAGE('Parámetros'!$F$5:$F$6)+$F$33)</f>
        <v>0</v>
      </c>
      <c r="I26" s="146"/>
      <c r="J26" s="146"/>
      <c r="L26" s="73"/>
      <c r="R26" s="74"/>
    </row>
    <row r="27" ht="14.25" customHeight="1">
      <c r="A27" s="251">
        <f>IFERROR(__xludf.DUMMYFUNCTION("COUNTIF(SPLIT(B27,"" ""),""Developer"")"),0.0)</f>
        <v>0</v>
      </c>
      <c r="B27" s="316"/>
      <c r="C27" s="68" t="str">
        <f>IFERROR(VLOOKUP(B27,'Parámetros'!A$1:B113,2, FALSE),"")</f>
        <v/>
      </c>
      <c r="D27" s="208" t="s">
        <v>41</v>
      </c>
      <c r="E27" s="317"/>
      <c r="F27" s="68">
        <f t="shared" si="4"/>
        <v>0</v>
      </c>
      <c r="G27" s="68">
        <f t="shared" si="3"/>
        <v>0</v>
      </c>
      <c r="H27" s="254">
        <f>G27/(AVERAGE('Parámetros'!$F$5:$F$6)+$F$33)</f>
        <v>0</v>
      </c>
      <c r="I27" s="146"/>
      <c r="J27" s="146"/>
      <c r="L27" s="73"/>
    </row>
    <row r="28" ht="14.25" customHeight="1">
      <c r="A28" s="251">
        <f>IFERROR(__xludf.DUMMYFUNCTION("COUNTIF(SPLIT(B28,"" ""),""Developer"")"),0.0)</f>
        <v>0</v>
      </c>
      <c r="B28" s="255"/>
      <c r="C28" s="68" t="str">
        <f>IFERROR(VLOOKUP(B28,'Parámetros'!A$1:B114,2, FALSE),"")</f>
        <v/>
      </c>
      <c r="D28" s="208" t="s">
        <v>41</v>
      </c>
      <c r="E28" s="257"/>
      <c r="F28" s="68">
        <f t="shared" si="4"/>
        <v>0</v>
      </c>
      <c r="G28" s="68">
        <f t="shared" si="3"/>
        <v>0</v>
      </c>
      <c r="H28" s="254">
        <f>G28/(AVERAGE('Parámetros'!$F$5:$F$6)+$F$33)</f>
        <v>0</v>
      </c>
      <c r="I28" s="146"/>
      <c r="J28" s="146"/>
      <c r="L28" s="73"/>
    </row>
    <row r="29" ht="14.25" customHeight="1">
      <c r="A29" s="251">
        <f>IFERROR(__xludf.DUMMYFUNCTION("COUNTIF(SPLIT(B29,"" ""),""Developer"")"),0.0)</f>
        <v>0</v>
      </c>
      <c r="B29" s="316"/>
      <c r="C29" s="68" t="str">
        <f>IFERROR(VLOOKUP(B29,'Parámetros'!A$1:B115,2, FALSE),"")</f>
        <v/>
      </c>
      <c r="D29" s="208" t="s">
        <v>41</v>
      </c>
      <c r="E29" s="317"/>
      <c r="F29" s="68">
        <f t="shared" si="4"/>
        <v>0</v>
      </c>
      <c r="G29" s="68">
        <f t="shared" si="3"/>
        <v>0</v>
      </c>
      <c r="H29" s="254">
        <f>G29/(AVERAGE('Parámetros'!$F$5:$F$6)+$F$33)</f>
        <v>0</v>
      </c>
      <c r="I29" s="146"/>
      <c r="J29" s="146"/>
      <c r="L29" s="73"/>
    </row>
    <row r="30" ht="14.25" customHeight="1">
      <c r="A30" s="251">
        <f>IFERROR(__xludf.DUMMYFUNCTION("COUNTIF(SPLIT(B30,"" ""),""Developer"")"),0.0)</f>
        <v>0</v>
      </c>
      <c r="B30" s="304"/>
      <c r="C30" s="68" t="str">
        <f>IFERROR(VLOOKUP(B30,'Parámetros'!A$1:B116,2, FALSE),"")</f>
        <v/>
      </c>
      <c r="D30" s="208" t="s">
        <v>41</v>
      </c>
      <c r="E30" s="258"/>
      <c r="F30" s="68">
        <f t="shared" si="4"/>
        <v>0</v>
      </c>
      <c r="G30" s="68">
        <f t="shared" si="3"/>
        <v>0</v>
      </c>
      <c r="H30" s="254">
        <f>G30/(AVERAGE('Parámetros'!$F$5:$F$6)+$F$33)</f>
        <v>0</v>
      </c>
      <c r="I30" s="146"/>
      <c r="J30" s="146"/>
      <c r="K30" s="146"/>
    </row>
    <row r="31" ht="14.25" customHeight="1">
      <c r="A31" s="251">
        <f>IFERROR(__xludf.DUMMYFUNCTION("COUNTIF(SPLIT(B31,"" ""),""Developer"")"),0.0)</f>
        <v>0</v>
      </c>
      <c r="B31" s="304"/>
      <c r="C31" s="68" t="str">
        <f>IFERROR(VLOOKUP(B31,'Parámetros'!A$1:B117,2, FALSE),"")</f>
        <v/>
      </c>
      <c r="D31" s="208" t="s">
        <v>41</v>
      </c>
      <c r="E31" s="258"/>
      <c r="F31" s="68">
        <f t="shared" si="4"/>
        <v>0</v>
      </c>
      <c r="G31" s="68">
        <f t="shared" si="3"/>
        <v>0</v>
      </c>
      <c r="H31" s="254">
        <f>G31/(AVERAGE('Parámetros'!$F$5:$F$6)+$F$33)</f>
        <v>0</v>
      </c>
      <c r="I31" s="146"/>
      <c r="J31" s="146"/>
      <c r="K31" s="146"/>
    </row>
    <row r="32" ht="14.25" customHeight="1">
      <c r="A32" s="251">
        <f>IFERROR(__xludf.DUMMYFUNCTION("COUNTIF(SPLIT(B32,"" ""),""Developer"")"),0.0)</f>
        <v>0</v>
      </c>
      <c r="B32" s="304"/>
      <c r="C32" s="68" t="str">
        <f>iferror(VLOOKUP(B32,'Parámetros'!A$1:B127,2, FALSE),"")</f>
        <v/>
      </c>
      <c r="D32" s="208" t="s">
        <v>41</v>
      </c>
      <c r="E32" s="258"/>
      <c r="F32" s="68">
        <f t="shared" si="4"/>
        <v>0</v>
      </c>
      <c r="G32" s="68">
        <f t="shared" si="3"/>
        <v>0</v>
      </c>
      <c r="H32" s="254">
        <f>G32/(AVERAGE('Parámetros'!$F$5:$F$6)+$F$33)</f>
        <v>0</v>
      </c>
      <c r="I32" s="146"/>
      <c r="J32" s="146"/>
      <c r="K32" s="146"/>
    </row>
    <row r="33" ht="14.25" customHeight="1">
      <c r="F33" s="259">
        <f t="shared" ref="F33:H33" si="5">SUM(F25:F32)</f>
        <v>0</v>
      </c>
      <c r="G33" s="259">
        <f t="shared" si="5"/>
        <v>0</v>
      </c>
      <c r="H33" s="260">
        <f t="shared" si="5"/>
        <v>0</v>
      </c>
      <c r="M33" s="90"/>
      <c r="N33" s="91"/>
      <c r="O33" s="92"/>
      <c r="P33" s="93"/>
      <c r="Q33" s="94"/>
    </row>
    <row r="34" ht="14.25" customHeight="1">
      <c r="G34" s="55"/>
    </row>
    <row r="35" ht="14.25" customHeight="1">
      <c r="G35" s="55"/>
    </row>
    <row r="36" ht="14.25" customHeight="1">
      <c r="C36" s="261" t="s">
        <v>9</v>
      </c>
      <c r="D36" s="261" t="s">
        <v>45</v>
      </c>
      <c r="G36" s="55"/>
    </row>
    <row r="37" ht="14.25" customHeight="1">
      <c r="F37" s="97"/>
      <c r="G37" s="55"/>
    </row>
    <row r="38" ht="14.25" customHeight="1">
      <c r="B38" s="262" t="s">
        <v>31</v>
      </c>
      <c r="C38" s="261" t="s">
        <v>35</v>
      </c>
      <c r="D38" s="291" t="s">
        <v>48</v>
      </c>
      <c r="E38" s="292" t="s">
        <v>50</v>
      </c>
      <c r="F38" s="292" t="s">
        <v>159</v>
      </c>
      <c r="G38" s="55"/>
    </row>
    <row r="39" ht="14.25" customHeight="1">
      <c r="B39" s="264" t="str">
        <f t="shared" ref="B39:B45" si="6">B25</f>
        <v>Miguel Oswaldo Palacios Mosquera</v>
      </c>
      <c r="C39" s="265">
        <f t="shared" ref="C39:C45" si="7">E25</f>
        <v>1</v>
      </c>
      <c r="D39" s="268">
        <f t="shared" ref="D39:D45" si="8">C39*180</f>
        <v>180</v>
      </c>
      <c r="E39" s="267">
        <f>IFERROR((IF($C$36="Gross Margin",F25/$F$33*$F$10,IF($C$36="Net Margin",F25/$F$33*$F$16,"Error")))/D39,"")/IF($D$36="USD",'Parámetros'!$L$3,1)</f>
        <v>0</v>
      </c>
      <c r="F39" s="267">
        <f t="shared" ref="F39:F45" si="9">E39*D39</f>
        <v>0</v>
      </c>
      <c r="G39" s="55"/>
    </row>
    <row r="40" ht="14.25" customHeight="1">
      <c r="B40" s="264" t="str">
        <f t="shared" si="6"/>
        <v/>
      </c>
      <c r="C40" s="265" t="str">
        <f t="shared" si="7"/>
        <v/>
      </c>
      <c r="D40" s="268">
        <f t="shared" si="8"/>
        <v>0</v>
      </c>
      <c r="E40" s="267">
        <f>IFERROR((IF($C$36="Gross Margin",F26/$F$33*$F$10,IF($C$36="Net Margin",F26/$F$33*$F$16,"Error")))/D40,"")/IF($D$36="USD",'Parámetros'!$L$3,1)</f>
        <v>0</v>
      </c>
      <c r="F40" s="267">
        <f t="shared" si="9"/>
        <v>0</v>
      </c>
      <c r="G40" s="55"/>
    </row>
    <row r="41" ht="14.25" customHeight="1">
      <c r="B41" s="264" t="str">
        <f t="shared" si="6"/>
        <v/>
      </c>
      <c r="C41" s="265" t="str">
        <f t="shared" si="7"/>
        <v/>
      </c>
      <c r="D41" s="268">
        <f t="shared" si="8"/>
        <v>0</v>
      </c>
      <c r="E41" s="267">
        <f>IFERROR((IF($C$36="Gross Margin",F27/$F$33*$F$10,IF($C$36="Net Margin",F27/$F$33*$F$16,"Error")))/D41,"")/IF($D$36="USD",'Parámetros'!$L$3,1)</f>
        <v>0</v>
      </c>
      <c r="F41" s="267">
        <f t="shared" si="9"/>
        <v>0</v>
      </c>
      <c r="G41" s="23"/>
    </row>
    <row r="42" ht="14.25" customHeight="1">
      <c r="B42" s="264" t="str">
        <f t="shared" si="6"/>
        <v/>
      </c>
      <c r="C42" s="265" t="str">
        <f t="shared" si="7"/>
        <v/>
      </c>
      <c r="D42" s="268">
        <f t="shared" si="8"/>
        <v>0</v>
      </c>
      <c r="E42" s="267">
        <f>IFERROR((IF($C$36="Gross Margin",F28/$F$33*$F$10,IF($C$36="Net Margin",F28/$F$33*$F$16,"Error")))/D42,"")/IF($D$36="USD",'Parámetros'!$L$3,1)</f>
        <v>0</v>
      </c>
      <c r="F42" s="267">
        <f t="shared" si="9"/>
        <v>0</v>
      </c>
      <c r="G42" s="23"/>
    </row>
    <row r="43" ht="14.25" customHeight="1">
      <c r="B43" s="264" t="str">
        <f t="shared" si="6"/>
        <v/>
      </c>
      <c r="C43" s="265" t="str">
        <f t="shared" si="7"/>
        <v/>
      </c>
      <c r="D43" s="268">
        <f t="shared" si="8"/>
        <v>0</v>
      </c>
      <c r="E43" s="267">
        <f>IFERROR((IF($C$36="Gross Margin",F29/$F$33*$F$10,IF($C$36="Net Margin",F29/$F$33*$F$16,"Error")))/D43,"")/IF($D$36="USD",'Parámetros'!$L$3,1)</f>
        <v>0</v>
      </c>
      <c r="F43" s="267">
        <f t="shared" si="9"/>
        <v>0</v>
      </c>
      <c r="G43" s="55"/>
    </row>
    <row r="44" ht="14.25" customHeight="1">
      <c r="B44" s="264" t="str">
        <f t="shared" si="6"/>
        <v/>
      </c>
      <c r="C44" s="265" t="str">
        <f t="shared" si="7"/>
        <v/>
      </c>
      <c r="D44" s="268">
        <f t="shared" si="8"/>
        <v>0</v>
      </c>
      <c r="E44" s="267">
        <f>IFERROR((IF($C$36="Gross Margin",F30/$F$33*$F$10,IF($C$36="Net Margin",F30/$F$33*$F$16,"Error")))/D44,"")/IF($D$36="USD",'Parámetros'!$L$3,1)</f>
        <v>0</v>
      </c>
      <c r="F44" s="267">
        <f t="shared" si="9"/>
        <v>0</v>
      </c>
      <c r="G44" s="55"/>
    </row>
    <row r="45" ht="14.25" customHeight="1">
      <c r="B45" s="264" t="str">
        <f t="shared" si="6"/>
        <v/>
      </c>
      <c r="C45" s="265" t="str">
        <f t="shared" si="7"/>
        <v/>
      </c>
      <c r="D45" s="268">
        <f t="shared" si="8"/>
        <v>0</v>
      </c>
      <c r="E45" s="267">
        <f>IFERROR((IF($C$36="Gross Margin",F31/$F$33*$F$10,IF($C$36="Net Margin",F31/$F$33*$F$16,"Error")))/D45,"")/IF($D$36="USD",'Parámetros'!$L$3,1)</f>
        <v>0</v>
      </c>
      <c r="F45" s="267">
        <f t="shared" si="9"/>
        <v>0</v>
      </c>
      <c r="G45" s="55"/>
    </row>
    <row r="46" ht="14.25" customHeight="1">
      <c r="G46" s="55"/>
    </row>
    <row r="47" ht="14.25" customHeight="1">
      <c r="G47" s="55"/>
    </row>
    <row r="48" ht="14.25" customHeight="1">
      <c r="D48" s="271"/>
      <c r="E48" s="271"/>
      <c r="G48" s="55"/>
    </row>
    <row r="49" ht="14.25" customHeight="1">
      <c r="B49" s="272" t="s">
        <v>11</v>
      </c>
      <c r="C49" s="272" t="s">
        <v>52</v>
      </c>
      <c r="D49" s="273" t="s">
        <v>116</v>
      </c>
      <c r="E49" s="274"/>
      <c r="G49" s="55"/>
    </row>
    <row r="50" ht="14.25" customHeight="1" outlineLevel="1">
      <c r="A50" s="33"/>
      <c r="B50" s="275" t="s">
        <v>14</v>
      </c>
      <c r="C50" s="276">
        <f>G33</f>
        <v>0</v>
      </c>
      <c r="D50" s="276">
        <f t="shared" ref="D50:D55" si="10">C50/C$8</f>
        <v>0</v>
      </c>
      <c r="E50" s="277"/>
      <c r="F50" s="33"/>
      <c r="G50" s="37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</row>
    <row r="51" ht="14.25" customHeight="1" outlineLevel="1">
      <c r="A51" s="33"/>
      <c r="B51" s="278" t="s">
        <v>17</v>
      </c>
      <c r="C51" s="279">
        <f>C53+C54+C52</f>
        <v>450000</v>
      </c>
      <c r="D51" s="279">
        <f t="shared" si="10"/>
        <v>450000</v>
      </c>
      <c r="E51" s="277"/>
      <c r="F51" s="33"/>
      <c r="G51" s="37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</row>
    <row r="52" ht="14.25" customHeight="1" outlineLevel="1">
      <c r="B52" s="280" t="s">
        <v>19</v>
      </c>
      <c r="C52" s="70">
        <f>E23*5000000*9%*C8</f>
        <v>450000</v>
      </c>
      <c r="D52" s="70">
        <f t="shared" si="10"/>
        <v>450000</v>
      </c>
      <c r="E52" s="271"/>
      <c r="G52" s="55"/>
    </row>
    <row r="53" ht="14.25" customHeight="1" outlineLevel="1">
      <c r="B53" s="280" t="s">
        <v>20</v>
      </c>
      <c r="C53" s="281">
        <f>H33*AVERAGE('Parámetros'!G6:G7)*IF(C2="Network",15%,100%)*IF(C2="Enterprise",40%,100%)</f>
        <v>0</v>
      </c>
      <c r="D53" s="281">
        <f t="shared" si="10"/>
        <v>0</v>
      </c>
      <c r="E53" s="282"/>
      <c r="G53" s="55"/>
    </row>
    <row r="54" ht="14.25" customHeight="1" outlineLevel="1">
      <c r="B54" s="280" t="s">
        <v>21</v>
      </c>
      <c r="C54" s="70">
        <f>H33*AVERAGE('Parámetros'!H7)*IF(C2="Network",15%,100%)</f>
        <v>0</v>
      </c>
      <c r="D54" s="70">
        <f t="shared" si="10"/>
        <v>0</v>
      </c>
      <c r="E54" s="282"/>
      <c r="G54" s="55"/>
    </row>
    <row r="55" ht="14.25" customHeight="1">
      <c r="B55" s="283" t="s">
        <v>23</v>
      </c>
      <c r="C55" s="284">
        <f>C50+C51</f>
        <v>450000</v>
      </c>
      <c r="D55" s="284">
        <f t="shared" si="10"/>
        <v>450000</v>
      </c>
      <c r="E55" s="277"/>
      <c r="G55" s="55"/>
    </row>
    <row r="56" ht="14.25" customHeight="1">
      <c r="B56" s="285" t="s">
        <v>168</v>
      </c>
      <c r="C56" s="286">
        <f t="shared" ref="C56:D56" si="11">C50+C52+C54</f>
        <v>450000</v>
      </c>
      <c r="D56" s="286">
        <f t="shared" si="11"/>
        <v>450000</v>
      </c>
      <c r="E56" s="287"/>
      <c r="G56" s="55"/>
    </row>
    <row r="57">
      <c r="D57" s="271"/>
      <c r="E57" s="271"/>
      <c r="G57" s="55"/>
    </row>
    <row r="58" ht="14.25" customHeight="1">
      <c r="G58" s="55"/>
    </row>
    <row r="59" ht="14.25" customHeight="1">
      <c r="G59" s="55"/>
    </row>
    <row r="60" ht="14.25" customHeight="1">
      <c r="G60" s="55"/>
    </row>
    <row r="61" ht="14.25" customHeight="1">
      <c r="G61" s="55"/>
    </row>
    <row r="62" ht="14.25" customHeight="1">
      <c r="G62" s="55"/>
    </row>
    <row r="63" ht="14.25" customHeight="1">
      <c r="G63" s="55"/>
    </row>
    <row r="64" ht="14.25" customHeight="1">
      <c r="G64" s="55"/>
    </row>
    <row r="65" ht="14.25" customHeight="1">
      <c r="G65" s="55"/>
    </row>
    <row r="66" ht="14.25" customHeight="1">
      <c r="G66" s="55"/>
    </row>
    <row r="67" ht="14.25" customHeight="1">
      <c r="G67" s="55"/>
    </row>
    <row r="68" ht="14.25" customHeight="1">
      <c r="G68" s="55"/>
    </row>
    <row r="69" ht="14.25" customHeight="1">
      <c r="G69" s="55"/>
    </row>
    <row r="70" ht="14.25" customHeight="1">
      <c r="G70" s="55"/>
    </row>
    <row r="71" ht="14.25" customHeight="1">
      <c r="G71" s="55"/>
    </row>
    <row r="72" ht="14.25" customHeight="1">
      <c r="G72" s="55"/>
    </row>
    <row r="73" ht="14.25" customHeight="1">
      <c r="G73" s="55"/>
    </row>
    <row r="74" ht="14.25" customHeight="1">
      <c r="G74" s="55"/>
    </row>
    <row r="75" ht="14.25" customHeight="1">
      <c r="G75" s="55"/>
    </row>
    <row r="76" ht="14.25" customHeight="1">
      <c r="G76" s="55"/>
    </row>
    <row r="77" ht="14.25" customHeight="1">
      <c r="G77" s="55"/>
    </row>
    <row r="78" ht="14.25" customHeight="1">
      <c r="G78" s="55"/>
    </row>
    <row r="79" ht="14.25" customHeight="1">
      <c r="G79" s="55"/>
    </row>
    <row r="80" ht="14.25" customHeight="1">
      <c r="G80" s="55"/>
    </row>
    <row r="81" ht="14.25" customHeight="1">
      <c r="G81" s="55"/>
    </row>
    <row r="82" ht="14.25" customHeight="1">
      <c r="G82" s="55"/>
    </row>
    <row r="83" ht="14.25" customHeight="1">
      <c r="G83" s="55"/>
    </row>
    <row r="84" ht="14.25" customHeight="1">
      <c r="G84" s="55"/>
    </row>
    <row r="85" ht="14.25" customHeight="1">
      <c r="G85" s="55"/>
    </row>
    <row r="86" ht="14.25" customHeight="1">
      <c r="G86" s="55"/>
    </row>
    <row r="87" ht="14.25" customHeight="1">
      <c r="G87" s="55"/>
    </row>
    <row r="88" ht="14.25" customHeight="1">
      <c r="G88" s="55"/>
    </row>
    <row r="89" ht="14.25" customHeight="1">
      <c r="G89" s="55"/>
    </row>
    <row r="90" ht="14.25" customHeight="1">
      <c r="G90" s="55"/>
    </row>
    <row r="91" ht="14.25" customHeight="1">
      <c r="G91" s="55"/>
    </row>
    <row r="92" ht="14.25" customHeight="1">
      <c r="G92" s="55"/>
    </row>
    <row r="93" ht="14.25" customHeight="1">
      <c r="G93" s="55"/>
    </row>
    <row r="94" ht="14.25" customHeight="1">
      <c r="G94" s="55"/>
    </row>
    <row r="95" ht="14.25" customHeight="1">
      <c r="G95" s="55"/>
    </row>
    <row r="96" ht="14.25" customHeight="1">
      <c r="G96" s="55"/>
    </row>
    <row r="97" ht="14.25" customHeight="1">
      <c r="G97" s="55"/>
    </row>
    <row r="98" ht="14.25" customHeight="1">
      <c r="G98" s="55"/>
    </row>
    <row r="99" ht="14.25" customHeight="1">
      <c r="G99" s="55"/>
    </row>
    <row r="100" ht="14.25" customHeight="1">
      <c r="G100" s="55"/>
    </row>
    <row r="101" ht="14.25" customHeight="1">
      <c r="G101" s="55"/>
    </row>
    <row r="102" ht="14.25" customHeight="1">
      <c r="G102" s="55"/>
    </row>
    <row r="103" ht="14.25" customHeight="1">
      <c r="G103" s="55"/>
    </row>
    <row r="104" ht="14.25" customHeight="1">
      <c r="G104" s="55"/>
    </row>
    <row r="105" ht="14.25" customHeight="1">
      <c r="G105" s="55"/>
    </row>
    <row r="106" ht="14.25" customHeight="1">
      <c r="G106" s="55"/>
    </row>
    <row r="107" ht="14.25" customHeight="1">
      <c r="G107" s="55"/>
    </row>
    <row r="108" ht="14.25" customHeight="1">
      <c r="G108" s="55"/>
    </row>
    <row r="109" ht="14.25" customHeight="1">
      <c r="G109" s="55"/>
    </row>
    <row r="110" ht="14.25" customHeight="1">
      <c r="G110" s="55"/>
    </row>
    <row r="111" ht="14.25" customHeight="1">
      <c r="G111" s="55"/>
    </row>
    <row r="112" ht="14.25" customHeight="1">
      <c r="G112" s="55"/>
    </row>
    <row r="113" ht="14.25" customHeight="1">
      <c r="G113" s="55"/>
    </row>
    <row r="114" ht="14.25" customHeight="1">
      <c r="G114" s="55"/>
    </row>
    <row r="115" ht="14.25" customHeight="1">
      <c r="G115" s="55"/>
    </row>
    <row r="116" ht="14.25" customHeight="1">
      <c r="G116" s="55"/>
    </row>
    <row r="117" ht="14.25" customHeight="1">
      <c r="G117" s="55"/>
    </row>
    <row r="118" ht="14.25" customHeight="1">
      <c r="G118" s="55"/>
    </row>
    <row r="119" ht="14.25" customHeight="1">
      <c r="G119" s="55"/>
    </row>
    <row r="120" ht="14.25" customHeight="1">
      <c r="G120" s="55"/>
    </row>
    <row r="121" ht="14.25" customHeight="1">
      <c r="G121" s="55"/>
    </row>
    <row r="122" ht="14.25" customHeight="1">
      <c r="G122" s="55"/>
    </row>
    <row r="123" ht="14.25" customHeight="1">
      <c r="G123" s="55"/>
    </row>
    <row r="124" ht="14.25" customHeight="1">
      <c r="G124" s="55"/>
    </row>
    <row r="125" ht="14.25" customHeight="1">
      <c r="G125" s="55"/>
    </row>
    <row r="126" ht="14.25" customHeight="1">
      <c r="G126" s="55"/>
    </row>
    <row r="127" ht="14.25" customHeight="1">
      <c r="G127" s="55"/>
    </row>
    <row r="128" ht="14.25" customHeight="1">
      <c r="G128" s="55"/>
    </row>
    <row r="129" ht="14.25" customHeight="1">
      <c r="G129" s="55"/>
    </row>
    <row r="130" ht="14.25" customHeight="1">
      <c r="G130" s="55"/>
    </row>
    <row r="131" ht="14.25" customHeight="1">
      <c r="G131" s="55"/>
    </row>
    <row r="132" ht="14.25" customHeight="1">
      <c r="G132" s="55"/>
    </row>
    <row r="133" ht="14.25" customHeight="1">
      <c r="G133" s="55"/>
    </row>
    <row r="134" ht="14.25" customHeight="1">
      <c r="G134" s="55"/>
    </row>
    <row r="135" ht="14.25" customHeight="1">
      <c r="G135" s="55"/>
    </row>
    <row r="136" ht="14.25" customHeight="1">
      <c r="G136" s="55"/>
    </row>
    <row r="137" ht="14.25" customHeight="1">
      <c r="G137" s="55"/>
    </row>
    <row r="138" ht="14.25" customHeight="1">
      <c r="G138" s="55"/>
    </row>
    <row r="139" ht="14.25" customHeight="1">
      <c r="G139" s="55"/>
    </row>
    <row r="140" ht="14.25" customHeight="1">
      <c r="G140" s="55"/>
    </row>
    <row r="141" ht="14.25" customHeight="1">
      <c r="G141" s="55"/>
    </row>
    <row r="142" ht="14.25" customHeight="1">
      <c r="G142" s="55"/>
    </row>
    <row r="143" ht="14.25" customHeight="1">
      <c r="G143" s="55"/>
    </row>
    <row r="144" ht="14.25" customHeight="1">
      <c r="G144" s="55"/>
    </row>
    <row r="145" ht="14.25" customHeight="1">
      <c r="G145" s="55"/>
    </row>
    <row r="146" ht="14.25" customHeight="1">
      <c r="G146" s="55"/>
    </row>
    <row r="147" ht="14.25" customHeight="1">
      <c r="G147" s="55"/>
    </row>
    <row r="148" ht="14.25" customHeight="1">
      <c r="G148" s="55"/>
    </row>
    <row r="149" ht="14.25" customHeight="1">
      <c r="G149" s="55"/>
    </row>
    <row r="150" ht="14.25" customHeight="1">
      <c r="G150" s="55"/>
    </row>
    <row r="151" ht="14.25" customHeight="1">
      <c r="G151" s="55"/>
    </row>
    <row r="152" ht="14.25" customHeight="1">
      <c r="G152" s="55"/>
    </row>
    <row r="153" ht="14.25" customHeight="1">
      <c r="G153" s="55"/>
    </row>
    <row r="154" ht="14.25" customHeight="1">
      <c r="G154" s="55"/>
    </row>
    <row r="155" ht="14.25" customHeight="1">
      <c r="G155" s="55"/>
    </row>
    <row r="156" ht="14.25" customHeight="1">
      <c r="G156" s="55"/>
    </row>
    <row r="157" ht="14.25" customHeight="1">
      <c r="G157" s="55"/>
    </row>
    <row r="158" ht="14.25" customHeight="1">
      <c r="G158" s="55"/>
    </row>
    <row r="159" ht="14.25" customHeight="1">
      <c r="G159" s="55"/>
    </row>
    <row r="160" ht="14.25" customHeight="1">
      <c r="G160" s="55"/>
    </row>
    <row r="161" ht="14.25" customHeight="1">
      <c r="G161" s="55"/>
    </row>
    <row r="162" ht="14.25" customHeight="1">
      <c r="G162" s="55"/>
    </row>
    <row r="163" ht="14.25" customHeight="1">
      <c r="G163" s="55"/>
    </row>
    <row r="164" ht="14.25" customHeight="1">
      <c r="G164" s="55"/>
    </row>
    <row r="165" ht="14.25" customHeight="1">
      <c r="G165" s="55"/>
    </row>
    <row r="166" ht="14.25" customHeight="1">
      <c r="G166" s="55"/>
    </row>
    <row r="167" ht="14.25" customHeight="1">
      <c r="G167" s="55"/>
    </row>
    <row r="168" ht="14.25" customHeight="1">
      <c r="G168" s="55"/>
    </row>
    <row r="169" ht="14.25" customHeight="1">
      <c r="G169" s="55"/>
    </row>
    <row r="170" ht="14.25" customHeight="1">
      <c r="G170" s="55"/>
    </row>
    <row r="171" ht="14.25" customHeight="1">
      <c r="G171" s="55"/>
    </row>
    <row r="172" ht="14.25" customHeight="1">
      <c r="G172" s="55"/>
    </row>
    <row r="173" ht="14.25" customHeight="1">
      <c r="G173" s="55"/>
    </row>
    <row r="174" ht="14.25" customHeight="1">
      <c r="G174" s="55"/>
    </row>
    <row r="175" ht="14.25" customHeight="1">
      <c r="G175" s="55"/>
    </row>
    <row r="176" ht="14.25" customHeight="1">
      <c r="G176" s="55"/>
    </row>
    <row r="177" ht="14.25" customHeight="1">
      <c r="G177" s="55"/>
    </row>
    <row r="178" ht="14.25" customHeight="1">
      <c r="G178" s="55"/>
    </row>
    <row r="179" ht="14.25" customHeight="1">
      <c r="G179" s="55"/>
    </row>
    <row r="180" ht="14.25" customHeight="1">
      <c r="G180" s="55"/>
    </row>
    <row r="181" ht="14.25" customHeight="1">
      <c r="G181" s="55"/>
    </row>
    <row r="182" ht="14.25" customHeight="1">
      <c r="G182" s="55"/>
    </row>
    <row r="183" ht="14.25" customHeight="1">
      <c r="G183" s="55"/>
    </row>
    <row r="184" ht="14.25" customHeight="1">
      <c r="G184" s="55"/>
    </row>
    <row r="185" ht="14.25" customHeight="1">
      <c r="G185" s="55"/>
    </row>
    <row r="186" ht="14.25" customHeight="1">
      <c r="G186" s="55"/>
    </row>
    <row r="187" ht="14.25" customHeight="1">
      <c r="G187" s="55"/>
    </row>
    <row r="188" ht="14.25" customHeight="1">
      <c r="G188" s="55"/>
    </row>
    <row r="189" ht="14.25" customHeight="1">
      <c r="G189" s="55"/>
    </row>
    <row r="190" ht="14.25" customHeight="1">
      <c r="G190" s="55"/>
    </row>
    <row r="191" ht="14.25" customHeight="1">
      <c r="G191" s="55"/>
    </row>
    <row r="192" ht="14.25" customHeight="1">
      <c r="G192" s="55"/>
    </row>
    <row r="193" ht="14.25" customHeight="1">
      <c r="G193" s="55"/>
    </row>
    <row r="194" ht="14.25" customHeight="1">
      <c r="G194" s="55"/>
    </row>
    <row r="195" ht="14.25" customHeight="1">
      <c r="G195" s="55"/>
    </row>
    <row r="196" ht="14.25" customHeight="1">
      <c r="G196" s="55"/>
    </row>
    <row r="197" ht="14.25" customHeight="1">
      <c r="G197" s="55"/>
    </row>
    <row r="198" ht="14.25" customHeight="1">
      <c r="G198" s="55"/>
    </row>
    <row r="199" ht="14.25" customHeight="1">
      <c r="G199" s="55"/>
    </row>
    <row r="200" ht="14.25" customHeight="1">
      <c r="G200" s="55"/>
    </row>
    <row r="201" ht="14.25" customHeight="1">
      <c r="G201" s="55"/>
    </row>
    <row r="202" ht="14.25" customHeight="1">
      <c r="G202" s="55"/>
    </row>
    <row r="203" ht="14.25" customHeight="1">
      <c r="G203" s="55"/>
    </row>
    <row r="204" ht="14.25" customHeight="1">
      <c r="G204" s="55"/>
    </row>
    <row r="205" ht="14.25" customHeight="1">
      <c r="G205" s="55"/>
    </row>
    <row r="206" ht="14.25" customHeight="1">
      <c r="G206" s="55"/>
    </row>
    <row r="207" ht="14.25" customHeight="1">
      <c r="G207" s="55"/>
    </row>
    <row r="208" ht="14.25" customHeight="1">
      <c r="G208" s="55"/>
    </row>
    <row r="209" ht="14.25" customHeight="1">
      <c r="G209" s="55"/>
    </row>
    <row r="210" ht="14.25" customHeight="1">
      <c r="G210" s="55"/>
    </row>
    <row r="211" ht="14.25" customHeight="1">
      <c r="G211" s="55"/>
    </row>
    <row r="212" ht="14.25" customHeight="1">
      <c r="G212" s="55"/>
    </row>
    <row r="213" ht="14.25" customHeight="1">
      <c r="G213" s="55"/>
    </row>
    <row r="214" ht="14.25" customHeight="1">
      <c r="G214" s="55"/>
    </row>
    <row r="215" ht="14.25" customHeight="1">
      <c r="G215" s="55"/>
    </row>
    <row r="216" ht="14.25" customHeight="1">
      <c r="G216" s="55"/>
    </row>
    <row r="217" ht="14.25" customHeight="1">
      <c r="G217" s="55"/>
    </row>
    <row r="218" ht="14.25" customHeight="1">
      <c r="G218" s="55"/>
    </row>
    <row r="219" ht="14.25" customHeight="1">
      <c r="G219" s="55"/>
    </row>
    <row r="220" ht="14.25" customHeight="1">
      <c r="G220" s="55"/>
    </row>
    <row r="221" ht="14.25" customHeight="1">
      <c r="G221" s="55"/>
    </row>
    <row r="222" ht="14.25" customHeight="1">
      <c r="G222" s="55"/>
    </row>
    <row r="223" ht="14.25" customHeight="1">
      <c r="G223" s="55"/>
    </row>
    <row r="224" ht="14.25" customHeight="1">
      <c r="G224" s="55"/>
    </row>
    <row r="225" ht="14.25" customHeight="1">
      <c r="G225" s="55"/>
    </row>
    <row r="226" ht="14.25" customHeight="1">
      <c r="G226" s="55"/>
    </row>
    <row r="227" ht="14.25" customHeight="1">
      <c r="G227" s="55"/>
    </row>
    <row r="228" ht="14.25" customHeight="1">
      <c r="G228" s="55"/>
    </row>
    <row r="229" ht="14.25" customHeight="1">
      <c r="G229" s="55"/>
    </row>
    <row r="230" ht="14.25" customHeight="1">
      <c r="G230" s="55"/>
    </row>
    <row r="231" ht="14.25" customHeight="1">
      <c r="G231" s="55"/>
    </row>
    <row r="232" ht="14.25" customHeight="1">
      <c r="G232" s="55"/>
    </row>
    <row r="233" ht="14.25" customHeight="1">
      <c r="G233" s="55"/>
    </row>
    <row r="234" ht="14.25" customHeight="1">
      <c r="G234" s="55"/>
    </row>
    <row r="235" ht="14.25" customHeight="1">
      <c r="G235" s="55"/>
    </row>
    <row r="236" ht="14.25" customHeight="1">
      <c r="G236" s="55"/>
    </row>
    <row r="237" ht="14.25" customHeight="1">
      <c r="G237" s="55"/>
    </row>
    <row r="238" ht="14.25" customHeight="1">
      <c r="G238" s="55"/>
    </row>
    <row r="239" ht="14.25" customHeight="1">
      <c r="G239" s="55"/>
    </row>
    <row r="240" ht="14.25" customHeight="1">
      <c r="G240" s="55"/>
    </row>
    <row r="241" ht="14.25" customHeight="1">
      <c r="G241" s="55"/>
    </row>
    <row r="242" ht="14.25" customHeight="1">
      <c r="G242" s="55"/>
    </row>
    <row r="243" ht="14.25" customHeight="1">
      <c r="G243" s="55"/>
    </row>
    <row r="244" ht="14.25" customHeight="1">
      <c r="G244" s="55"/>
    </row>
    <row r="245" ht="14.25" customHeight="1">
      <c r="G245" s="55"/>
    </row>
    <row r="246" ht="14.25" customHeight="1">
      <c r="G246" s="55"/>
    </row>
    <row r="247" ht="14.25" customHeight="1">
      <c r="G247" s="55"/>
    </row>
    <row r="248" ht="14.25" customHeight="1">
      <c r="G248" s="55"/>
    </row>
    <row r="249" ht="14.25" customHeight="1">
      <c r="G249" s="55"/>
    </row>
    <row r="250" ht="14.25" customHeight="1">
      <c r="G250" s="55"/>
    </row>
    <row r="251" ht="14.25" customHeight="1">
      <c r="G251" s="55"/>
    </row>
    <row r="252" ht="14.25" customHeight="1">
      <c r="G252" s="55"/>
    </row>
    <row r="253" ht="14.25" customHeight="1">
      <c r="G253" s="55"/>
    </row>
    <row r="254" ht="14.25" customHeight="1">
      <c r="G254" s="55"/>
    </row>
    <row r="255" ht="14.25" customHeight="1">
      <c r="G255" s="55"/>
    </row>
    <row r="256" ht="14.25" customHeight="1">
      <c r="G256" s="55"/>
    </row>
    <row r="257" ht="14.25" customHeight="1">
      <c r="G257" s="55"/>
    </row>
    <row r="258" ht="14.25" customHeight="1">
      <c r="G258" s="55"/>
    </row>
    <row r="259" ht="14.25" customHeight="1">
      <c r="G259" s="55"/>
    </row>
    <row r="260" ht="14.25" customHeight="1">
      <c r="G260" s="55"/>
    </row>
    <row r="261" ht="14.25" customHeight="1">
      <c r="G261" s="55"/>
    </row>
    <row r="262" ht="14.25" customHeight="1">
      <c r="G262" s="55"/>
    </row>
    <row r="263" ht="14.25" customHeight="1">
      <c r="G263" s="55"/>
    </row>
    <row r="264" ht="14.25" customHeight="1">
      <c r="G264" s="55"/>
    </row>
    <row r="265" ht="14.25" customHeight="1">
      <c r="G265" s="55"/>
    </row>
    <row r="266" ht="14.25" customHeight="1">
      <c r="G266" s="55"/>
    </row>
    <row r="267" ht="14.25" customHeight="1">
      <c r="G267" s="55"/>
    </row>
    <row r="268" ht="14.25" customHeight="1">
      <c r="G268" s="55"/>
    </row>
    <row r="269" ht="14.25" customHeight="1">
      <c r="G269" s="55"/>
    </row>
    <row r="270" ht="14.25" customHeight="1">
      <c r="G270" s="55"/>
    </row>
    <row r="271" ht="14.25" customHeight="1">
      <c r="G271" s="55"/>
    </row>
    <row r="272" ht="14.25" customHeight="1">
      <c r="G272" s="55"/>
    </row>
    <row r="273" ht="14.25" customHeight="1">
      <c r="G273" s="55"/>
    </row>
    <row r="274" ht="14.25" customHeight="1">
      <c r="G274" s="55"/>
    </row>
    <row r="275" ht="14.25" customHeight="1">
      <c r="G275" s="55"/>
    </row>
    <row r="276" ht="14.25" customHeight="1">
      <c r="G276" s="55"/>
    </row>
    <row r="277" ht="14.25" customHeight="1">
      <c r="G277" s="55"/>
    </row>
    <row r="278" ht="14.25" customHeight="1">
      <c r="G278" s="55"/>
    </row>
    <row r="279" ht="14.25" customHeight="1">
      <c r="G279" s="55"/>
    </row>
    <row r="280" ht="14.25" customHeight="1">
      <c r="G280" s="55"/>
    </row>
    <row r="281" ht="14.25" customHeight="1">
      <c r="G281" s="55"/>
    </row>
    <row r="282" ht="14.25" customHeight="1">
      <c r="G282" s="55"/>
    </row>
    <row r="283" ht="14.25" customHeight="1">
      <c r="G283" s="55"/>
    </row>
    <row r="284" ht="14.25" customHeight="1">
      <c r="G284" s="55"/>
    </row>
    <row r="285" ht="14.25" customHeight="1">
      <c r="G285" s="55"/>
    </row>
    <row r="286" ht="14.25" customHeight="1">
      <c r="G286" s="55"/>
    </row>
    <row r="287" ht="14.25" customHeight="1">
      <c r="G287" s="55"/>
    </row>
    <row r="288" ht="14.25" customHeight="1">
      <c r="G288" s="55"/>
    </row>
    <row r="289" ht="14.25" customHeight="1">
      <c r="G289" s="55"/>
    </row>
    <row r="290" ht="14.25" customHeight="1">
      <c r="G290" s="55"/>
    </row>
    <row r="291" ht="14.25" customHeight="1">
      <c r="G291" s="55"/>
    </row>
    <row r="292" ht="14.25" customHeight="1">
      <c r="G292" s="55"/>
    </row>
    <row r="293" ht="14.25" customHeight="1">
      <c r="G293" s="55"/>
    </row>
    <row r="294" ht="14.25" customHeight="1">
      <c r="G294" s="55"/>
    </row>
    <row r="295" ht="14.25" customHeight="1">
      <c r="G295" s="55"/>
    </row>
    <row r="296" ht="14.25" customHeight="1">
      <c r="G296" s="55"/>
    </row>
    <row r="297" ht="14.25" customHeight="1">
      <c r="G297" s="55"/>
    </row>
    <row r="298" ht="14.25" customHeight="1">
      <c r="G298" s="55"/>
    </row>
    <row r="299" ht="14.25" customHeight="1">
      <c r="G299" s="55"/>
    </row>
    <row r="300" ht="14.25" customHeight="1">
      <c r="G300" s="55"/>
    </row>
    <row r="301" ht="14.25" customHeight="1">
      <c r="G301" s="55"/>
    </row>
    <row r="302" ht="14.25" customHeight="1">
      <c r="G302" s="55"/>
    </row>
    <row r="303" ht="14.25" customHeight="1">
      <c r="G303" s="55"/>
    </row>
    <row r="304" ht="14.25" customHeight="1">
      <c r="G304" s="55"/>
    </row>
    <row r="305" ht="14.25" customHeight="1">
      <c r="G305" s="55"/>
    </row>
    <row r="306" ht="14.25" customHeight="1">
      <c r="G306" s="55"/>
    </row>
    <row r="307" ht="14.25" customHeight="1">
      <c r="G307" s="55"/>
    </row>
    <row r="308" ht="14.25" customHeight="1">
      <c r="G308" s="55"/>
    </row>
    <row r="309" ht="14.25" customHeight="1">
      <c r="G309" s="55"/>
    </row>
    <row r="310" ht="14.25" customHeight="1">
      <c r="G310" s="55"/>
    </row>
    <row r="311" ht="14.25" customHeight="1">
      <c r="G311" s="55"/>
    </row>
    <row r="312" ht="14.25" customHeight="1">
      <c r="G312" s="55"/>
    </row>
    <row r="313" ht="14.25" customHeight="1">
      <c r="G313" s="55"/>
    </row>
    <row r="314" ht="14.25" customHeight="1">
      <c r="G314" s="55"/>
    </row>
    <row r="315" ht="14.25" customHeight="1">
      <c r="G315" s="55"/>
    </row>
    <row r="316" ht="14.25" customHeight="1">
      <c r="G316" s="55"/>
    </row>
    <row r="317" ht="14.25" customHeight="1">
      <c r="G317" s="55"/>
    </row>
    <row r="318" ht="14.25" customHeight="1">
      <c r="G318" s="55"/>
    </row>
    <row r="319" ht="14.25" customHeight="1">
      <c r="G319" s="55"/>
    </row>
    <row r="320" ht="14.25" customHeight="1">
      <c r="G320" s="55"/>
    </row>
    <row r="321" ht="14.25" customHeight="1">
      <c r="G321" s="55"/>
    </row>
    <row r="322" ht="14.25" customHeight="1">
      <c r="G322" s="55"/>
    </row>
    <row r="323" ht="14.25" customHeight="1">
      <c r="G323" s="55"/>
    </row>
    <row r="324" ht="14.25" customHeight="1">
      <c r="G324" s="55"/>
    </row>
    <row r="325" ht="14.25" customHeight="1">
      <c r="G325" s="55"/>
    </row>
    <row r="326" ht="14.25" customHeight="1">
      <c r="G326" s="55"/>
    </row>
    <row r="327" ht="14.25" customHeight="1">
      <c r="G327" s="55"/>
    </row>
    <row r="328" ht="14.25" customHeight="1">
      <c r="G328" s="55"/>
    </row>
    <row r="329" ht="14.25" customHeight="1">
      <c r="G329" s="55"/>
    </row>
    <row r="330" ht="14.25" customHeight="1">
      <c r="G330" s="55"/>
    </row>
    <row r="331" ht="14.25" customHeight="1">
      <c r="G331" s="55"/>
    </row>
    <row r="332" ht="14.25" customHeight="1">
      <c r="G332" s="55"/>
    </row>
    <row r="333" ht="14.25" customHeight="1">
      <c r="G333" s="55"/>
    </row>
    <row r="334" ht="14.25" customHeight="1">
      <c r="G334" s="55"/>
    </row>
    <row r="335" ht="14.25" customHeight="1">
      <c r="G335" s="55"/>
    </row>
    <row r="336" ht="14.25" customHeight="1">
      <c r="G336" s="55"/>
    </row>
    <row r="337" ht="14.25" customHeight="1">
      <c r="G337" s="55"/>
    </row>
    <row r="338" ht="14.25" customHeight="1">
      <c r="G338" s="55"/>
    </row>
    <row r="339" ht="14.25" customHeight="1">
      <c r="G339" s="55"/>
    </row>
    <row r="340" ht="14.25" customHeight="1">
      <c r="G340" s="55"/>
    </row>
    <row r="341" ht="14.25" customHeight="1">
      <c r="G341" s="55"/>
    </row>
    <row r="342" ht="14.25" customHeight="1">
      <c r="G342" s="55"/>
    </row>
    <row r="343" ht="14.25" customHeight="1">
      <c r="G343" s="55"/>
    </row>
    <row r="344" ht="14.25" customHeight="1">
      <c r="G344" s="55"/>
    </row>
    <row r="345" ht="14.25" customHeight="1">
      <c r="G345" s="55"/>
    </row>
    <row r="346" ht="14.25" customHeight="1">
      <c r="G346" s="55"/>
    </row>
    <row r="347" ht="14.25" customHeight="1">
      <c r="G347" s="55"/>
    </row>
    <row r="348" ht="14.25" customHeight="1">
      <c r="G348" s="55"/>
    </row>
    <row r="349" ht="14.25" customHeight="1">
      <c r="G349" s="55"/>
    </row>
    <row r="350" ht="14.25" customHeight="1">
      <c r="G350" s="55"/>
    </row>
    <row r="351" ht="14.25" customHeight="1">
      <c r="G351" s="55"/>
    </row>
    <row r="352" ht="14.25" customHeight="1">
      <c r="G352" s="55"/>
    </row>
    <row r="353" ht="14.25" customHeight="1">
      <c r="G353" s="55"/>
    </row>
    <row r="354" ht="14.25" customHeight="1">
      <c r="G354" s="55"/>
    </row>
    <row r="355" ht="14.25" customHeight="1">
      <c r="G355" s="55"/>
    </row>
    <row r="356" ht="14.25" customHeight="1">
      <c r="G356" s="55"/>
    </row>
    <row r="357" ht="14.25" customHeight="1">
      <c r="G357" s="55"/>
    </row>
    <row r="358" ht="14.25" customHeight="1">
      <c r="G358" s="55"/>
    </row>
    <row r="359" ht="14.25" customHeight="1">
      <c r="G359" s="55"/>
    </row>
    <row r="360" ht="14.25" customHeight="1">
      <c r="G360" s="55"/>
    </row>
    <row r="361" ht="14.25" customHeight="1">
      <c r="G361" s="55"/>
    </row>
    <row r="362" ht="14.25" customHeight="1">
      <c r="G362" s="55"/>
    </row>
    <row r="363" ht="14.25" customHeight="1">
      <c r="G363" s="55"/>
    </row>
    <row r="364" ht="14.25" customHeight="1">
      <c r="G364" s="55"/>
    </row>
    <row r="365" ht="14.25" customHeight="1">
      <c r="G365" s="55"/>
    </row>
    <row r="366" ht="14.25" customHeight="1">
      <c r="G366" s="55"/>
    </row>
    <row r="367" ht="14.25" customHeight="1">
      <c r="G367" s="55"/>
    </row>
    <row r="368" ht="14.25" customHeight="1">
      <c r="G368" s="55"/>
    </row>
    <row r="369" ht="14.25" customHeight="1">
      <c r="G369" s="55"/>
    </row>
    <row r="370" ht="14.25" customHeight="1">
      <c r="G370" s="55"/>
    </row>
    <row r="371" ht="14.25" customHeight="1">
      <c r="G371" s="55"/>
    </row>
    <row r="372" ht="14.25" customHeight="1">
      <c r="G372" s="55"/>
    </row>
    <row r="373" ht="14.25" customHeight="1">
      <c r="G373" s="55"/>
    </row>
    <row r="374" ht="14.25" customHeight="1">
      <c r="G374" s="55"/>
    </row>
    <row r="375" ht="14.25" customHeight="1">
      <c r="G375" s="55"/>
    </row>
    <row r="376" ht="14.25" customHeight="1">
      <c r="G376" s="55"/>
    </row>
    <row r="377" ht="14.25" customHeight="1">
      <c r="G377" s="55"/>
    </row>
    <row r="378" ht="14.25" customHeight="1">
      <c r="G378" s="55"/>
    </row>
    <row r="379" ht="14.25" customHeight="1">
      <c r="G379" s="55"/>
    </row>
    <row r="380" ht="14.25" customHeight="1">
      <c r="G380" s="55"/>
    </row>
    <row r="381" ht="14.25" customHeight="1">
      <c r="G381" s="55"/>
    </row>
    <row r="382" ht="14.25" customHeight="1">
      <c r="G382" s="55"/>
    </row>
    <row r="383" ht="14.25" customHeight="1">
      <c r="G383" s="55"/>
    </row>
    <row r="384" ht="14.25" customHeight="1">
      <c r="G384" s="55"/>
    </row>
    <row r="385" ht="14.25" customHeight="1">
      <c r="G385" s="55"/>
    </row>
    <row r="386" ht="14.25" customHeight="1">
      <c r="G386" s="55"/>
    </row>
    <row r="387" ht="14.25" customHeight="1">
      <c r="G387" s="55"/>
    </row>
    <row r="388" ht="14.25" customHeight="1">
      <c r="G388" s="55"/>
    </row>
    <row r="389" ht="14.25" customHeight="1">
      <c r="G389" s="55"/>
    </row>
    <row r="390" ht="14.25" customHeight="1">
      <c r="G390" s="55"/>
    </row>
    <row r="391" ht="14.25" customHeight="1">
      <c r="G391" s="55"/>
    </row>
    <row r="392" ht="14.25" customHeight="1">
      <c r="G392" s="55"/>
    </row>
    <row r="393" ht="14.25" customHeight="1">
      <c r="G393" s="55"/>
    </row>
    <row r="394" ht="14.25" customHeight="1">
      <c r="G394" s="55"/>
    </row>
    <row r="395" ht="14.25" customHeight="1">
      <c r="G395" s="55"/>
    </row>
    <row r="396" ht="14.25" customHeight="1">
      <c r="G396" s="55"/>
    </row>
    <row r="397" ht="14.25" customHeight="1">
      <c r="G397" s="55"/>
    </row>
    <row r="398" ht="14.25" customHeight="1">
      <c r="G398" s="55"/>
    </row>
    <row r="399" ht="14.25" customHeight="1">
      <c r="G399" s="55"/>
    </row>
    <row r="400" ht="14.25" customHeight="1">
      <c r="G400" s="55"/>
    </row>
    <row r="401" ht="14.25" customHeight="1">
      <c r="G401" s="55"/>
    </row>
    <row r="402" ht="14.25" customHeight="1">
      <c r="G402" s="55"/>
    </row>
    <row r="403" ht="14.25" customHeight="1">
      <c r="G403" s="55"/>
    </row>
    <row r="404" ht="14.25" customHeight="1">
      <c r="G404" s="55"/>
    </row>
    <row r="405" ht="14.25" customHeight="1">
      <c r="G405" s="55"/>
    </row>
    <row r="406" ht="14.25" customHeight="1">
      <c r="G406" s="55"/>
    </row>
    <row r="407" ht="14.25" customHeight="1">
      <c r="G407" s="55"/>
    </row>
    <row r="408" ht="14.25" customHeight="1">
      <c r="G408" s="55"/>
    </row>
    <row r="409" ht="14.25" customHeight="1">
      <c r="G409" s="55"/>
    </row>
    <row r="410" ht="14.25" customHeight="1">
      <c r="G410" s="55"/>
    </row>
    <row r="411" ht="14.25" customHeight="1">
      <c r="G411" s="55"/>
    </row>
    <row r="412" ht="14.25" customHeight="1">
      <c r="G412" s="55"/>
    </row>
    <row r="413" ht="14.25" customHeight="1">
      <c r="G413" s="55"/>
    </row>
    <row r="414" ht="14.25" customHeight="1">
      <c r="G414" s="55"/>
    </row>
    <row r="415" ht="14.25" customHeight="1">
      <c r="G415" s="55"/>
    </row>
    <row r="416" ht="14.25" customHeight="1">
      <c r="G416" s="55"/>
    </row>
    <row r="417" ht="14.25" customHeight="1">
      <c r="G417" s="55"/>
    </row>
    <row r="418" ht="14.25" customHeight="1">
      <c r="G418" s="55"/>
    </row>
    <row r="419" ht="14.25" customHeight="1">
      <c r="G419" s="55"/>
    </row>
    <row r="420" ht="14.25" customHeight="1">
      <c r="G420" s="55"/>
    </row>
    <row r="421" ht="14.25" customHeight="1">
      <c r="G421" s="55"/>
    </row>
    <row r="422" ht="14.25" customHeight="1">
      <c r="G422" s="55"/>
    </row>
    <row r="423" ht="14.25" customHeight="1">
      <c r="G423" s="55"/>
    </row>
    <row r="424" ht="14.25" customHeight="1">
      <c r="G424" s="55"/>
    </row>
    <row r="425" ht="14.25" customHeight="1">
      <c r="G425" s="55"/>
    </row>
    <row r="426" ht="14.25" customHeight="1">
      <c r="G426" s="55"/>
    </row>
    <row r="427" ht="14.25" customHeight="1">
      <c r="G427" s="55"/>
    </row>
    <row r="428" ht="14.25" customHeight="1">
      <c r="G428" s="55"/>
    </row>
    <row r="429" ht="14.25" customHeight="1">
      <c r="G429" s="55"/>
    </row>
    <row r="430" ht="14.25" customHeight="1">
      <c r="G430" s="55"/>
    </row>
    <row r="431" ht="14.25" customHeight="1">
      <c r="G431" s="55"/>
    </row>
    <row r="432" ht="14.25" customHeight="1">
      <c r="G432" s="55"/>
    </row>
    <row r="433" ht="14.25" customHeight="1">
      <c r="G433" s="55"/>
    </row>
    <row r="434" ht="14.25" customHeight="1">
      <c r="G434" s="55"/>
    </row>
    <row r="435" ht="14.25" customHeight="1">
      <c r="G435" s="55"/>
    </row>
    <row r="436" ht="14.25" customHeight="1">
      <c r="G436" s="55"/>
    </row>
    <row r="437" ht="14.25" customHeight="1">
      <c r="G437" s="55"/>
    </row>
    <row r="438" ht="14.25" customHeight="1">
      <c r="G438" s="55"/>
    </row>
    <row r="439" ht="14.25" customHeight="1">
      <c r="G439" s="55"/>
    </row>
    <row r="440" ht="14.25" customHeight="1">
      <c r="G440" s="55"/>
    </row>
    <row r="441" ht="14.25" customHeight="1">
      <c r="G441" s="55"/>
    </row>
    <row r="442" ht="14.25" customHeight="1">
      <c r="G442" s="55"/>
    </row>
    <row r="443" ht="14.25" customHeight="1">
      <c r="G443" s="55"/>
    </row>
    <row r="444" ht="14.25" customHeight="1">
      <c r="G444" s="55"/>
    </row>
    <row r="445" ht="14.25" customHeight="1">
      <c r="G445" s="55"/>
    </row>
    <row r="446" ht="14.25" customHeight="1">
      <c r="G446" s="55"/>
    </row>
    <row r="447" ht="14.25" customHeight="1">
      <c r="G447" s="55"/>
    </row>
    <row r="448" ht="14.25" customHeight="1">
      <c r="G448" s="55"/>
    </row>
    <row r="449" ht="14.25" customHeight="1">
      <c r="G449" s="55"/>
    </row>
    <row r="450" ht="14.25" customHeight="1">
      <c r="G450" s="55"/>
    </row>
    <row r="451" ht="14.25" customHeight="1">
      <c r="G451" s="55"/>
    </row>
    <row r="452" ht="14.25" customHeight="1">
      <c r="G452" s="55"/>
    </row>
    <row r="453" ht="14.25" customHeight="1">
      <c r="G453" s="55"/>
    </row>
    <row r="454" ht="14.25" customHeight="1">
      <c r="G454" s="55"/>
    </row>
    <row r="455" ht="14.25" customHeight="1">
      <c r="G455" s="55"/>
    </row>
    <row r="456" ht="14.25" customHeight="1">
      <c r="G456" s="55"/>
    </row>
    <row r="457" ht="14.25" customHeight="1">
      <c r="G457" s="55"/>
    </row>
    <row r="458" ht="14.25" customHeight="1">
      <c r="G458" s="55"/>
    </row>
    <row r="459" ht="14.25" customHeight="1">
      <c r="G459" s="55"/>
    </row>
    <row r="460" ht="14.25" customHeight="1">
      <c r="G460" s="55"/>
    </row>
    <row r="461" ht="14.25" customHeight="1">
      <c r="G461" s="55"/>
    </row>
    <row r="462" ht="14.25" customHeight="1">
      <c r="G462" s="55"/>
    </row>
    <row r="463" ht="14.25" customHeight="1">
      <c r="G463" s="55"/>
    </row>
    <row r="464" ht="14.25" customHeight="1">
      <c r="G464" s="55"/>
    </row>
    <row r="465" ht="14.25" customHeight="1">
      <c r="G465" s="55"/>
    </row>
    <row r="466" ht="14.25" customHeight="1">
      <c r="G466" s="55"/>
    </row>
    <row r="467" ht="14.25" customHeight="1">
      <c r="G467" s="55"/>
    </row>
    <row r="468" ht="14.25" customHeight="1">
      <c r="G468" s="55"/>
    </row>
    <row r="469" ht="14.25" customHeight="1">
      <c r="G469" s="55"/>
    </row>
    <row r="470" ht="14.25" customHeight="1">
      <c r="G470" s="55"/>
    </row>
    <row r="471" ht="14.25" customHeight="1">
      <c r="G471" s="55"/>
    </row>
    <row r="472" ht="14.25" customHeight="1">
      <c r="G472" s="55"/>
    </row>
    <row r="473" ht="14.25" customHeight="1">
      <c r="G473" s="55"/>
    </row>
    <row r="474" ht="14.25" customHeight="1">
      <c r="G474" s="55"/>
    </row>
    <row r="475" ht="14.25" customHeight="1">
      <c r="G475" s="55"/>
    </row>
    <row r="476" ht="14.25" customHeight="1">
      <c r="G476" s="55"/>
    </row>
    <row r="477" ht="14.25" customHeight="1">
      <c r="G477" s="55"/>
    </row>
    <row r="478" ht="14.25" customHeight="1">
      <c r="G478" s="55"/>
    </row>
    <row r="479" ht="14.25" customHeight="1">
      <c r="G479" s="55"/>
    </row>
    <row r="480" ht="14.25" customHeight="1">
      <c r="G480" s="55"/>
    </row>
    <row r="481" ht="14.25" customHeight="1">
      <c r="G481" s="55"/>
    </row>
    <row r="482" ht="14.25" customHeight="1">
      <c r="G482" s="55"/>
    </row>
    <row r="483" ht="14.25" customHeight="1">
      <c r="G483" s="55"/>
    </row>
    <row r="484" ht="14.25" customHeight="1">
      <c r="G484" s="55"/>
    </row>
    <row r="485" ht="14.25" customHeight="1">
      <c r="G485" s="55"/>
    </row>
    <row r="486" ht="14.25" customHeight="1">
      <c r="G486" s="55"/>
    </row>
    <row r="487" ht="14.25" customHeight="1">
      <c r="G487" s="55"/>
    </row>
    <row r="488" ht="14.25" customHeight="1">
      <c r="G488" s="55"/>
    </row>
    <row r="489" ht="14.25" customHeight="1">
      <c r="G489" s="55"/>
    </row>
    <row r="490" ht="14.25" customHeight="1">
      <c r="G490" s="55"/>
    </row>
    <row r="491" ht="14.25" customHeight="1">
      <c r="G491" s="55"/>
    </row>
    <row r="492" ht="14.25" customHeight="1">
      <c r="G492" s="55"/>
    </row>
    <row r="493" ht="14.25" customHeight="1">
      <c r="G493" s="55"/>
    </row>
    <row r="494" ht="14.25" customHeight="1">
      <c r="G494" s="55"/>
    </row>
    <row r="495" ht="14.25" customHeight="1">
      <c r="G495" s="55"/>
    </row>
    <row r="496" ht="14.25" customHeight="1">
      <c r="G496" s="55"/>
    </row>
    <row r="497" ht="14.25" customHeight="1">
      <c r="G497" s="55"/>
    </row>
    <row r="498" ht="14.25" customHeight="1">
      <c r="G498" s="55"/>
    </row>
    <row r="499" ht="14.25" customHeight="1">
      <c r="G499" s="55"/>
    </row>
    <row r="500" ht="14.25" customHeight="1">
      <c r="G500" s="55"/>
    </row>
    <row r="501" ht="14.25" customHeight="1">
      <c r="G501" s="55"/>
    </row>
    <row r="502" ht="14.25" customHeight="1">
      <c r="G502" s="55"/>
    </row>
    <row r="503" ht="14.25" customHeight="1">
      <c r="G503" s="55"/>
    </row>
    <row r="504" ht="14.25" customHeight="1">
      <c r="G504" s="55"/>
    </row>
    <row r="505" ht="14.25" customHeight="1">
      <c r="G505" s="55"/>
    </row>
    <row r="506" ht="14.25" customHeight="1">
      <c r="G506" s="55"/>
    </row>
    <row r="507" ht="14.25" customHeight="1">
      <c r="G507" s="55"/>
    </row>
    <row r="508" ht="14.25" customHeight="1">
      <c r="G508" s="55"/>
    </row>
    <row r="509" ht="14.25" customHeight="1">
      <c r="G509" s="55"/>
    </row>
    <row r="510" ht="14.25" customHeight="1">
      <c r="G510" s="55"/>
    </row>
    <row r="511" ht="14.25" customHeight="1">
      <c r="G511" s="55"/>
    </row>
    <row r="512" ht="14.25" customHeight="1">
      <c r="G512" s="55"/>
    </row>
    <row r="513" ht="14.25" customHeight="1">
      <c r="G513" s="55"/>
    </row>
    <row r="514" ht="14.25" customHeight="1">
      <c r="G514" s="55"/>
    </row>
    <row r="515" ht="14.25" customHeight="1">
      <c r="G515" s="55"/>
    </row>
    <row r="516" ht="14.25" customHeight="1">
      <c r="G516" s="55"/>
    </row>
    <row r="517" ht="14.25" customHeight="1">
      <c r="G517" s="55"/>
    </row>
    <row r="518" ht="14.25" customHeight="1">
      <c r="G518" s="55"/>
    </row>
    <row r="519" ht="14.25" customHeight="1">
      <c r="G519" s="55"/>
    </row>
    <row r="520" ht="14.25" customHeight="1">
      <c r="G520" s="55"/>
    </row>
    <row r="521" ht="14.25" customHeight="1">
      <c r="G521" s="55"/>
    </row>
    <row r="522" ht="14.25" customHeight="1">
      <c r="G522" s="55"/>
    </row>
    <row r="523" ht="14.25" customHeight="1">
      <c r="G523" s="55"/>
    </row>
    <row r="524" ht="14.25" customHeight="1">
      <c r="G524" s="55"/>
    </row>
    <row r="525" ht="14.25" customHeight="1">
      <c r="G525" s="55"/>
    </row>
    <row r="526" ht="14.25" customHeight="1">
      <c r="G526" s="55"/>
    </row>
    <row r="527" ht="14.25" customHeight="1">
      <c r="G527" s="55"/>
    </row>
    <row r="528" ht="14.25" customHeight="1">
      <c r="G528" s="55"/>
    </row>
    <row r="529" ht="14.25" customHeight="1">
      <c r="G529" s="55"/>
    </row>
    <row r="530" ht="14.25" customHeight="1">
      <c r="G530" s="55"/>
    </row>
    <row r="531" ht="14.25" customHeight="1">
      <c r="G531" s="55"/>
    </row>
    <row r="532" ht="14.25" customHeight="1">
      <c r="G532" s="55"/>
    </row>
    <row r="533" ht="14.25" customHeight="1">
      <c r="G533" s="55"/>
    </row>
    <row r="534" ht="14.25" customHeight="1">
      <c r="G534" s="55"/>
    </row>
    <row r="535" ht="14.25" customHeight="1">
      <c r="G535" s="55"/>
    </row>
    <row r="536" ht="14.25" customHeight="1">
      <c r="G536" s="55"/>
    </row>
    <row r="537" ht="14.25" customHeight="1">
      <c r="G537" s="55"/>
    </row>
    <row r="538" ht="14.25" customHeight="1">
      <c r="G538" s="55"/>
    </row>
    <row r="539" ht="14.25" customHeight="1">
      <c r="G539" s="55"/>
    </row>
    <row r="540" ht="14.25" customHeight="1">
      <c r="G540" s="55"/>
    </row>
    <row r="541" ht="14.25" customHeight="1">
      <c r="G541" s="55"/>
    </row>
    <row r="542" ht="14.25" customHeight="1">
      <c r="G542" s="55"/>
    </row>
    <row r="543" ht="14.25" customHeight="1">
      <c r="G543" s="55"/>
    </row>
    <row r="544" ht="14.25" customHeight="1">
      <c r="G544" s="55"/>
    </row>
    <row r="545" ht="14.25" customHeight="1">
      <c r="G545" s="55"/>
    </row>
    <row r="546" ht="14.25" customHeight="1">
      <c r="G546" s="55"/>
    </row>
    <row r="547" ht="14.25" customHeight="1">
      <c r="G547" s="55"/>
    </row>
    <row r="548" ht="14.25" customHeight="1">
      <c r="G548" s="55"/>
    </row>
    <row r="549" ht="14.25" customHeight="1">
      <c r="G549" s="55"/>
    </row>
    <row r="550" ht="14.25" customHeight="1">
      <c r="G550" s="55"/>
    </row>
    <row r="551" ht="14.25" customHeight="1">
      <c r="G551" s="55"/>
    </row>
    <row r="552" ht="14.25" customHeight="1">
      <c r="G552" s="55"/>
    </row>
    <row r="553" ht="14.25" customHeight="1">
      <c r="G553" s="55"/>
    </row>
    <row r="554" ht="14.25" customHeight="1">
      <c r="G554" s="55"/>
    </row>
    <row r="555" ht="14.25" customHeight="1">
      <c r="G555" s="55"/>
    </row>
    <row r="556" ht="14.25" customHeight="1">
      <c r="G556" s="55"/>
    </row>
    <row r="557" ht="14.25" customHeight="1">
      <c r="G557" s="55"/>
    </row>
    <row r="558" ht="14.25" customHeight="1">
      <c r="G558" s="55"/>
    </row>
    <row r="559" ht="14.25" customHeight="1">
      <c r="G559" s="55"/>
    </row>
    <row r="560" ht="14.25" customHeight="1">
      <c r="G560" s="55"/>
    </row>
    <row r="561" ht="14.25" customHeight="1">
      <c r="G561" s="55"/>
    </row>
    <row r="562" ht="14.25" customHeight="1">
      <c r="G562" s="55"/>
    </row>
    <row r="563" ht="14.25" customHeight="1">
      <c r="G563" s="55"/>
    </row>
    <row r="564" ht="14.25" customHeight="1">
      <c r="G564" s="55"/>
    </row>
    <row r="565" ht="14.25" customHeight="1">
      <c r="G565" s="55"/>
    </row>
    <row r="566" ht="14.25" customHeight="1">
      <c r="G566" s="55"/>
    </row>
    <row r="567" ht="14.25" customHeight="1">
      <c r="G567" s="55"/>
    </row>
    <row r="568" ht="14.25" customHeight="1">
      <c r="G568" s="55"/>
    </row>
    <row r="569" ht="14.25" customHeight="1">
      <c r="G569" s="55"/>
    </row>
    <row r="570" ht="14.25" customHeight="1">
      <c r="G570" s="55"/>
    </row>
    <row r="571" ht="14.25" customHeight="1">
      <c r="G571" s="55"/>
    </row>
    <row r="572" ht="14.25" customHeight="1">
      <c r="G572" s="55"/>
    </row>
    <row r="573" ht="14.25" customHeight="1">
      <c r="G573" s="55"/>
    </row>
    <row r="574" ht="14.25" customHeight="1">
      <c r="G574" s="55"/>
    </row>
    <row r="575" ht="14.25" customHeight="1">
      <c r="G575" s="55"/>
    </row>
    <row r="576" ht="14.25" customHeight="1">
      <c r="G576" s="55"/>
    </row>
    <row r="577" ht="14.25" customHeight="1">
      <c r="G577" s="55"/>
    </row>
    <row r="578" ht="14.25" customHeight="1">
      <c r="G578" s="55"/>
    </row>
    <row r="579" ht="14.25" customHeight="1">
      <c r="G579" s="55"/>
    </row>
    <row r="580" ht="14.25" customHeight="1">
      <c r="G580" s="55"/>
    </row>
    <row r="581" ht="14.25" customHeight="1">
      <c r="G581" s="55"/>
    </row>
    <row r="582" ht="14.25" customHeight="1">
      <c r="G582" s="55"/>
    </row>
    <row r="583" ht="14.25" customHeight="1">
      <c r="G583" s="55"/>
    </row>
    <row r="584" ht="14.25" customHeight="1">
      <c r="G584" s="55"/>
    </row>
    <row r="585" ht="14.25" customHeight="1">
      <c r="G585" s="55"/>
    </row>
    <row r="586" ht="14.25" customHeight="1">
      <c r="G586" s="55"/>
    </row>
    <row r="587" ht="14.25" customHeight="1">
      <c r="G587" s="55"/>
    </row>
    <row r="588" ht="14.25" customHeight="1">
      <c r="G588" s="55"/>
    </row>
    <row r="589" ht="14.25" customHeight="1">
      <c r="G589" s="55"/>
    </row>
    <row r="590" ht="14.25" customHeight="1">
      <c r="G590" s="55"/>
    </row>
    <row r="591" ht="14.25" customHeight="1">
      <c r="G591" s="55"/>
    </row>
    <row r="592" ht="14.25" customHeight="1">
      <c r="G592" s="55"/>
    </row>
    <row r="593" ht="14.25" customHeight="1">
      <c r="G593" s="55"/>
    </row>
    <row r="594" ht="14.25" customHeight="1">
      <c r="G594" s="55"/>
    </row>
    <row r="595" ht="14.25" customHeight="1">
      <c r="G595" s="55"/>
    </row>
    <row r="596" ht="14.25" customHeight="1">
      <c r="G596" s="55"/>
    </row>
    <row r="597" ht="14.25" customHeight="1">
      <c r="G597" s="55"/>
    </row>
    <row r="598" ht="14.25" customHeight="1">
      <c r="G598" s="55"/>
    </row>
    <row r="599" ht="14.25" customHeight="1">
      <c r="G599" s="55"/>
    </row>
    <row r="600" ht="14.25" customHeight="1">
      <c r="G600" s="55"/>
    </row>
    <row r="601" ht="14.25" customHeight="1">
      <c r="G601" s="55"/>
    </row>
    <row r="602" ht="14.25" customHeight="1">
      <c r="G602" s="55"/>
    </row>
    <row r="603" ht="14.25" customHeight="1">
      <c r="G603" s="55"/>
    </row>
    <row r="604" ht="14.25" customHeight="1">
      <c r="G604" s="55"/>
    </row>
    <row r="605" ht="14.25" customHeight="1">
      <c r="G605" s="55"/>
    </row>
    <row r="606" ht="14.25" customHeight="1">
      <c r="G606" s="55"/>
    </row>
    <row r="607" ht="14.25" customHeight="1">
      <c r="G607" s="55"/>
    </row>
    <row r="608" ht="14.25" customHeight="1">
      <c r="G608" s="55"/>
    </row>
    <row r="609" ht="14.25" customHeight="1">
      <c r="G609" s="55"/>
    </row>
    <row r="610" ht="14.25" customHeight="1">
      <c r="G610" s="55"/>
    </row>
    <row r="611" ht="14.25" customHeight="1">
      <c r="G611" s="55"/>
    </row>
    <row r="612" ht="14.25" customHeight="1">
      <c r="G612" s="55"/>
    </row>
    <row r="613" ht="14.25" customHeight="1">
      <c r="G613" s="55"/>
    </row>
    <row r="614" ht="14.25" customHeight="1">
      <c r="G614" s="55"/>
    </row>
    <row r="615" ht="14.25" customHeight="1">
      <c r="G615" s="55"/>
    </row>
    <row r="616" ht="14.25" customHeight="1">
      <c r="G616" s="55"/>
    </row>
    <row r="617" ht="14.25" customHeight="1">
      <c r="G617" s="55"/>
    </row>
    <row r="618" ht="14.25" customHeight="1">
      <c r="G618" s="55"/>
    </row>
    <row r="619" ht="14.25" customHeight="1">
      <c r="G619" s="55"/>
    </row>
    <row r="620" ht="14.25" customHeight="1">
      <c r="G620" s="55"/>
    </row>
    <row r="621" ht="14.25" customHeight="1">
      <c r="G621" s="55"/>
    </row>
    <row r="622" ht="14.25" customHeight="1">
      <c r="G622" s="55"/>
    </row>
    <row r="623" ht="14.25" customHeight="1">
      <c r="G623" s="55"/>
    </row>
    <row r="624" ht="14.25" customHeight="1">
      <c r="G624" s="55"/>
    </row>
    <row r="625" ht="14.25" customHeight="1">
      <c r="G625" s="55"/>
    </row>
    <row r="626" ht="14.25" customHeight="1">
      <c r="G626" s="55"/>
    </row>
    <row r="627" ht="14.25" customHeight="1">
      <c r="G627" s="55"/>
    </row>
    <row r="628" ht="14.25" customHeight="1">
      <c r="G628" s="55"/>
    </row>
    <row r="629" ht="14.25" customHeight="1">
      <c r="G629" s="55"/>
    </row>
    <row r="630" ht="14.25" customHeight="1">
      <c r="G630" s="55"/>
    </row>
    <row r="631" ht="14.25" customHeight="1">
      <c r="G631" s="55"/>
    </row>
    <row r="632" ht="14.25" customHeight="1">
      <c r="G632" s="55"/>
    </row>
    <row r="633" ht="14.25" customHeight="1">
      <c r="G633" s="55"/>
    </row>
    <row r="634" ht="14.25" customHeight="1">
      <c r="G634" s="55"/>
    </row>
    <row r="635" ht="14.25" customHeight="1">
      <c r="G635" s="55"/>
    </row>
    <row r="636" ht="14.25" customHeight="1">
      <c r="G636" s="55"/>
    </row>
    <row r="637" ht="14.25" customHeight="1">
      <c r="G637" s="55"/>
    </row>
    <row r="638" ht="14.25" customHeight="1">
      <c r="G638" s="55"/>
    </row>
    <row r="639" ht="14.25" customHeight="1">
      <c r="G639" s="55"/>
    </row>
    <row r="640" ht="14.25" customHeight="1">
      <c r="G640" s="55"/>
    </row>
    <row r="641" ht="14.25" customHeight="1">
      <c r="G641" s="55"/>
    </row>
    <row r="642" ht="14.25" customHeight="1">
      <c r="G642" s="55"/>
    </row>
    <row r="643" ht="14.25" customHeight="1">
      <c r="G643" s="55"/>
    </row>
    <row r="644" ht="14.25" customHeight="1">
      <c r="G644" s="55"/>
    </row>
    <row r="645" ht="14.25" customHeight="1">
      <c r="G645" s="55"/>
    </row>
    <row r="646" ht="14.25" customHeight="1">
      <c r="G646" s="55"/>
    </row>
    <row r="647" ht="14.25" customHeight="1">
      <c r="G647" s="55"/>
    </row>
    <row r="648" ht="14.25" customHeight="1">
      <c r="G648" s="55"/>
    </row>
    <row r="649" ht="14.25" customHeight="1">
      <c r="G649" s="55"/>
    </row>
    <row r="650" ht="14.25" customHeight="1">
      <c r="G650" s="55"/>
    </row>
    <row r="651" ht="14.25" customHeight="1">
      <c r="G651" s="55"/>
    </row>
    <row r="652" ht="14.25" customHeight="1">
      <c r="G652" s="55"/>
    </row>
    <row r="653" ht="14.25" customHeight="1">
      <c r="G653" s="55"/>
    </row>
    <row r="654" ht="14.25" customHeight="1">
      <c r="G654" s="55"/>
    </row>
    <row r="655" ht="14.25" customHeight="1">
      <c r="G655" s="55"/>
    </row>
    <row r="656" ht="14.25" customHeight="1">
      <c r="G656" s="55"/>
    </row>
    <row r="657" ht="14.25" customHeight="1">
      <c r="G657" s="55"/>
    </row>
    <row r="658" ht="14.25" customHeight="1">
      <c r="G658" s="55"/>
    </row>
    <row r="659" ht="14.25" customHeight="1">
      <c r="G659" s="55"/>
    </row>
    <row r="660" ht="14.25" customHeight="1">
      <c r="G660" s="55"/>
    </row>
    <row r="661" ht="14.25" customHeight="1">
      <c r="G661" s="55"/>
    </row>
    <row r="662" ht="14.25" customHeight="1">
      <c r="G662" s="55"/>
    </row>
    <row r="663" ht="14.25" customHeight="1">
      <c r="G663" s="55"/>
    </row>
    <row r="664" ht="14.25" customHeight="1">
      <c r="G664" s="55"/>
    </row>
    <row r="665" ht="14.25" customHeight="1">
      <c r="G665" s="55"/>
    </row>
    <row r="666" ht="14.25" customHeight="1">
      <c r="G666" s="55"/>
    </row>
    <row r="667" ht="14.25" customHeight="1">
      <c r="G667" s="55"/>
    </row>
    <row r="668" ht="14.25" customHeight="1">
      <c r="G668" s="55"/>
    </row>
    <row r="669" ht="14.25" customHeight="1">
      <c r="G669" s="55"/>
    </row>
    <row r="670" ht="14.25" customHeight="1">
      <c r="G670" s="55"/>
    </row>
    <row r="671" ht="14.25" customHeight="1">
      <c r="G671" s="55"/>
    </row>
    <row r="672" ht="14.25" customHeight="1">
      <c r="G672" s="55"/>
    </row>
    <row r="673" ht="14.25" customHeight="1">
      <c r="G673" s="55"/>
    </row>
    <row r="674" ht="14.25" customHeight="1">
      <c r="G674" s="55"/>
    </row>
    <row r="675" ht="14.25" customHeight="1">
      <c r="G675" s="55"/>
    </row>
    <row r="676" ht="14.25" customHeight="1">
      <c r="G676" s="55"/>
    </row>
    <row r="677" ht="14.25" customHeight="1">
      <c r="G677" s="55"/>
    </row>
    <row r="678" ht="14.25" customHeight="1">
      <c r="G678" s="55"/>
    </row>
    <row r="679" ht="14.25" customHeight="1">
      <c r="G679" s="55"/>
    </row>
    <row r="680" ht="14.25" customHeight="1">
      <c r="G680" s="55"/>
    </row>
    <row r="681" ht="14.25" customHeight="1">
      <c r="G681" s="55"/>
    </row>
    <row r="682" ht="14.25" customHeight="1">
      <c r="G682" s="55"/>
    </row>
    <row r="683" ht="14.25" customHeight="1">
      <c r="G683" s="55"/>
    </row>
    <row r="684" ht="14.25" customHeight="1">
      <c r="G684" s="55"/>
    </row>
    <row r="685" ht="14.25" customHeight="1">
      <c r="G685" s="55"/>
    </row>
    <row r="686" ht="14.25" customHeight="1">
      <c r="G686" s="55"/>
    </row>
    <row r="687" ht="14.25" customHeight="1">
      <c r="G687" s="55"/>
    </row>
    <row r="688" ht="14.25" customHeight="1">
      <c r="G688" s="55"/>
    </row>
    <row r="689" ht="14.25" customHeight="1">
      <c r="G689" s="55"/>
    </row>
    <row r="690" ht="14.25" customHeight="1">
      <c r="G690" s="55"/>
    </row>
    <row r="691" ht="14.25" customHeight="1">
      <c r="G691" s="55"/>
    </row>
    <row r="692" ht="14.25" customHeight="1">
      <c r="G692" s="55"/>
    </row>
    <row r="693" ht="14.25" customHeight="1">
      <c r="G693" s="55"/>
    </row>
    <row r="694" ht="14.25" customHeight="1">
      <c r="G694" s="55"/>
    </row>
    <row r="695" ht="14.25" customHeight="1">
      <c r="G695" s="55"/>
    </row>
    <row r="696" ht="14.25" customHeight="1">
      <c r="G696" s="55"/>
    </row>
    <row r="697" ht="14.25" customHeight="1">
      <c r="G697" s="55"/>
    </row>
    <row r="698" ht="14.25" customHeight="1">
      <c r="G698" s="55"/>
    </row>
    <row r="699" ht="14.25" customHeight="1">
      <c r="G699" s="55"/>
    </row>
    <row r="700" ht="14.25" customHeight="1">
      <c r="G700" s="55"/>
    </row>
    <row r="701" ht="14.25" customHeight="1">
      <c r="G701" s="55"/>
    </row>
    <row r="702" ht="14.25" customHeight="1">
      <c r="G702" s="55"/>
    </row>
    <row r="703" ht="14.25" customHeight="1">
      <c r="G703" s="55"/>
    </row>
    <row r="704" ht="14.25" customHeight="1">
      <c r="G704" s="55"/>
    </row>
    <row r="705" ht="14.25" customHeight="1">
      <c r="G705" s="55"/>
    </row>
    <row r="706" ht="14.25" customHeight="1">
      <c r="G706" s="55"/>
    </row>
    <row r="707" ht="14.25" customHeight="1">
      <c r="G707" s="55"/>
    </row>
    <row r="708" ht="14.25" customHeight="1">
      <c r="G708" s="55"/>
    </row>
    <row r="709" ht="14.25" customHeight="1">
      <c r="G709" s="55"/>
    </row>
    <row r="710" ht="14.25" customHeight="1">
      <c r="G710" s="55"/>
    </row>
    <row r="711" ht="14.25" customHeight="1">
      <c r="G711" s="55"/>
    </row>
    <row r="712" ht="14.25" customHeight="1">
      <c r="G712" s="55"/>
    </row>
    <row r="713" ht="14.25" customHeight="1">
      <c r="G713" s="55"/>
    </row>
    <row r="714" ht="14.25" customHeight="1">
      <c r="G714" s="55"/>
    </row>
    <row r="715" ht="14.25" customHeight="1">
      <c r="G715" s="55"/>
    </row>
    <row r="716" ht="14.25" customHeight="1">
      <c r="G716" s="55"/>
    </row>
    <row r="717" ht="14.25" customHeight="1">
      <c r="G717" s="55"/>
    </row>
    <row r="718" ht="14.25" customHeight="1">
      <c r="G718" s="55"/>
    </row>
    <row r="719" ht="14.25" customHeight="1">
      <c r="G719" s="55"/>
    </row>
    <row r="720" ht="14.25" customHeight="1">
      <c r="G720" s="55"/>
    </row>
    <row r="721" ht="14.25" customHeight="1">
      <c r="G721" s="55"/>
    </row>
    <row r="722" ht="14.25" customHeight="1">
      <c r="G722" s="55"/>
    </row>
    <row r="723" ht="14.25" customHeight="1">
      <c r="G723" s="55"/>
    </row>
    <row r="724" ht="14.25" customHeight="1">
      <c r="G724" s="55"/>
    </row>
    <row r="725" ht="14.25" customHeight="1">
      <c r="G725" s="55"/>
    </row>
    <row r="726" ht="14.25" customHeight="1">
      <c r="G726" s="55"/>
    </row>
    <row r="727" ht="14.25" customHeight="1">
      <c r="G727" s="55"/>
    </row>
    <row r="728" ht="14.25" customHeight="1">
      <c r="G728" s="55"/>
    </row>
    <row r="729" ht="14.25" customHeight="1">
      <c r="G729" s="55"/>
    </row>
    <row r="730" ht="14.25" customHeight="1">
      <c r="G730" s="55"/>
    </row>
    <row r="731" ht="14.25" customHeight="1">
      <c r="G731" s="55"/>
    </row>
    <row r="732" ht="14.25" customHeight="1">
      <c r="G732" s="55"/>
    </row>
    <row r="733" ht="14.25" customHeight="1">
      <c r="G733" s="55"/>
    </row>
    <row r="734" ht="14.25" customHeight="1">
      <c r="G734" s="55"/>
    </row>
    <row r="735" ht="14.25" customHeight="1">
      <c r="G735" s="55"/>
    </row>
    <row r="736" ht="14.25" customHeight="1">
      <c r="G736" s="55"/>
    </row>
    <row r="737" ht="14.25" customHeight="1">
      <c r="G737" s="55"/>
    </row>
    <row r="738" ht="14.25" customHeight="1">
      <c r="G738" s="55"/>
    </row>
    <row r="739" ht="14.25" customHeight="1">
      <c r="G739" s="55"/>
    </row>
    <row r="740" ht="14.25" customHeight="1">
      <c r="G740" s="55"/>
    </row>
    <row r="741" ht="14.25" customHeight="1">
      <c r="G741" s="55"/>
    </row>
    <row r="742" ht="14.25" customHeight="1">
      <c r="G742" s="55"/>
    </row>
    <row r="743" ht="14.25" customHeight="1">
      <c r="G743" s="55"/>
    </row>
    <row r="744" ht="14.25" customHeight="1">
      <c r="G744" s="55"/>
    </row>
    <row r="745" ht="14.25" customHeight="1">
      <c r="G745" s="55"/>
    </row>
    <row r="746" ht="14.25" customHeight="1">
      <c r="G746" s="55"/>
    </row>
    <row r="747" ht="14.25" customHeight="1">
      <c r="G747" s="55"/>
    </row>
    <row r="748" ht="14.25" customHeight="1">
      <c r="G748" s="55"/>
    </row>
    <row r="749" ht="14.25" customHeight="1">
      <c r="G749" s="55"/>
    </row>
    <row r="750" ht="14.25" customHeight="1">
      <c r="G750" s="55"/>
    </row>
    <row r="751" ht="14.25" customHeight="1">
      <c r="G751" s="55"/>
    </row>
    <row r="752" ht="14.25" customHeight="1">
      <c r="G752" s="55"/>
    </row>
    <row r="753" ht="14.25" customHeight="1">
      <c r="G753" s="55"/>
    </row>
    <row r="754" ht="14.25" customHeight="1">
      <c r="G754" s="55"/>
    </row>
    <row r="755" ht="14.25" customHeight="1">
      <c r="G755" s="55"/>
    </row>
    <row r="756" ht="14.25" customHeight="1">
      <c r="G756" s="55"/>
    </row>
    <row r="757" ht="14.25" customHeight="1">
      <c r="G757" s="55"/>
    </row>
    <row r="758" ht="14.25" customHeight="1">
      <c r="G758" s="55"/>
    </row>
    <row r="759" ht="14.25" customHeight="1">
      <c r="G759" s="55"/>
    </row>
    <row r="760" ht="14.25" customHeight="1">
      <c r="G760" s="55"/>
    </row>
    <row r="761" ht="14.25" customHeight="1">
      <c r="G761" s="55"/>
    </row>
    <row r="762" ht="14.25" customHeight="1">
      <c r="G762" s="55"/>
    </row>
    <row r="763" ht="14.25" customHeight="1">
      <c r="G763" s="55"/>
    </row>
    <row r="764" ht="14.25" customHeight="1">
      <c r="G764" s="55"/>
    </row>
    <row r="765" ht="14.25" customHeight="1">
      <c r="G765" s="55"/>
    </row>
    <row r="766" ht="14.25" customHeight="1">
      <c r="G766" s="55"/>
    </row>
    <row r="767" ht="14.25" customHeight="1">
      <c r="G767" s="55"/>
    </row>
    <row r="768" ht="14.25" customHeight="1">
      <c r="G768" s="55"/>
    </row>
    <row r="769" ht="14.25" customHeight="1">
      <c r="G769" s="55"/>
    </row>
    <row r="770" ht="14.25" customHeight="1">
      <c r="G770" s="55"/>
    </row>
    <row r="771" ht="14.25" customHeight="1">
      <c r="G771" s="55"/>
    </row>
    <row r="772" ht="14.25" customHeight="1">
      <c r="G772" s="55"/>
    </row>
    <row r="773" ht="14.25" customHeight="1">
      <c r="G773" s="55"/>
    </row>
    <row r="774" ht="14.25" customHeight="1">
      <c r="G774" s="55"/>
    </row>
    <row r="775" ht="14.25" customHeight="1">
      <c r="G775" s="55"/>
    </row>
    <row r="776" ht="14.25" customHeight="1">
      <c r="G776" s="55"/>
    </row>
    <row r="777" ht="14.25" customHeight="1">
      <c r="G777" s="55"/>
    </row>
    <row r="778" ht="14.25" customHeight="1">
      <c r="G778" s="55"/>
    </row>
    <row r="779" ht="14.25" customHeight="1">
      <c r="G779" s="55"/>
    </row>
    <row r="780" ht="14.25" customHeight="1">
      <c r="G780" s="55"/>
    </row>
    <row r="781" ht="14.25" customHeight="1">
      <c r="G781" s="55"/>
    </row>
    <row r="782" ht="14.25" customHeight="1">
      <c r="G782" s="55"/>
    </row>
    <row r="783" ht="14.25" customHeight="1">
      <c r="G783" s="55"/>
    </row>
    <row r="784" ht="14.25" customHeight="1">
      <c r="G784" s="55"/>
    </row>
    <row r="785" ht="14.25" customHeight="1">
      <c r="G785" s="55"/>
    </row>
    <row r="786" ht="14.25" customHeight="1">
      <c r="G786" s="55"/>
    </row>
    <row r="787" ht="14.25" customHeight="1">
      <c r="G787" s="55"/>
    </row>
    <row r="788" ht="14.25" customHeight="1">
      <c r="G788" s="55"/>
    </row>
    <row r="789" ht="14.25" customHeight="1">
      <c r="G789" s="55"/>
    </row>
    <row r="790" ht="14.25" customHeight="1">
      <c r="G790" s="55"/>
    </row>
    <row r="791" ht="14.25" customHeight="1">
      <c r="G791" s="55"/>
    </row>
    <row r="792" ht="14.25" customHeight="1">
      <c r="G792" s="55"/>
    </row>
    <row r="793" ht="14.25" customHeight="1">
      <c r="G793" s="55"/>
    </row>
    <row r="794" ht="14.25" customHeight="1">
      <c r="G794" s="55"/>
    </row>
    <row r="795" ht="14.25" customHeight="1">
      <c r="G795" s="55"/>
    </row>
    <row r="796" ht="14.25" customHeight="1">
      <c r="G796" s="55"/>
    </row>
    <row r="797" ht="14.25" customHeight="1">
      <c r="G797" s="55"/>
    </row>
    <row r="798" ht="14.25" customHeight="1">
      <c r="G798" s="55"/>
    </row>
    <row r="799" ht="14.25" customHeight="1">
      <c r="G799" s="55"/>
    </row>
    <row r="800" ht="14.25" customHeight="1">
      <c r="G800" s="55"/>
    </row>
    <row r="801" ht="14.25" customHeight="1">
      <c r="G801" s="55"/>
    </row>
    <row r="802" ht="14.25" customHeight="1">
      <c r="G802" s="55"/>
    </row>
    <row r="803" ht="14.25" customHeight="1">
      <c r="G803" s="55"/>
    </row>
    <row r="804" ht="14.25" customHeight="1">
      <c r="G804" s="55"/>
    </row>
    <row r="805" ht="14.25" customHeight="1">
      <c r="G805" s="55"/>
    </row>
    <row r="806" ht="14.25" customHeight="1">
      <c r="G806" s="55"/>
    </row>
    <row r="807" ht="14.25" customHeight="1">
      <c r="G807" s="55"/>
    </row>
    <row r="808" ht="14.25" customHeight="1">
      <c r="G808" s="55"/>
    </row>
    <row r="809" ht="14.25" customHeight="1">
      <c r="G809" s="55"/>
    </row>
    <row r="810" ht="14.25" customHeight="1">
      <c r="G810" s="55"/>
    </row>
    <row r="811" ht="14.25" customHeight="1">
      <c r="G811" s="55"/>
    </row>
    <row r="812" ht="14.25" customHeight="1">
      <c r="G812" s="55"/>
    </row>
    <row r="813" ht="14.25" customHeight="1">
      <c r="G813" s="55"/>
    </row>
    <row r="814" ht="14.25" customHeight="1">
      <c r="G814" s="55"/>
    </row>
    <row r="815" ht="14.25" customHeight="1">
      <c r="G815" s="55"/>
    </row>
    <row r="816" ht="14.25" customHeight="1">
      <c r="G816" s="55"/>
    </row>
    <row r="817" ht="14.25" customHeight="1">
      <c r="G817" s="55"/>
    </row>
    <row r="818" ht="14.25" customHeight="1">
      <c r="G818" s="55"/>
    </row>
    <row r="819" ht="14.25" customHeight="1">
      <c r="G819" s="55"/>
    </row>
    <row r="820" ht="14.25" customHeight="1">
      <c r="G820" s="55"/>
    </row>
    <row r="821" ht="14.25" customHeight="1">
      <c r="G821" s="55"/>
    </row>
    <row r="822" ht="14.25" customHeight="1">
      <c r="G822" s="55"/>
    </row>
    <row r="823" ht="14.25" customHeight="1">
      <c r="G823" s="55"/>
    </row>
    <row r="824" ht="14.25" customHeight="1">
      <c r="G824" s="55"/>
    </row>
    <row r="825" ht="14.25" customHeight="1">
      <c r="G825" s="55"/>
    </row>
    <row r="826" ht="14.25" customHeight="1">
      <c r="G826" s="55"/>
    </row>
    <row r="827" ht="14.25" customHeight="1">
      <c r="G827" s="55"/>
    </row>
    <row r="828" ht="14.25" customHeight="1">
      <c r="G828" s="55"/>
    </row>
    <row r="829" ht="14.25" customHeight="1">
      <c r="G829" s="55"/>
    </row>
    <row r="830" ht="14.25" customHeight="1">
      <c r="G830" s="55"/>
    </row>
    <row r="831" ht="14.25" customHeight="1">
      <c r="G831" s="55"/>
    </row>
    <row r="832" ht="14.25" customHeight="1">
      <c r="G832" s="55"/>
    </row>
    <row r="833" ht="14.25" customHeight="1">
      <c r="G833" s="55"/>
    </row>
    <row r="834" ht="14.25" customHeight="1">
      <c r="G834" s="55"/>
    </row>
    <row r="835" ht="14.25" customHeight="1">
      <c r="G835" s="55"/>
    </row>
    <row r="836" ht="14.25" customHeight="1">
      <c r="G836" s="55"/>
    </row>
    <row r="837" ht="14.25" customHeight="1">
      <c r="G837" s="55"/>
    </row>
    <row r="838" ht="14.25" customHeight="1">
      <c r="G838" s="55"/>
    </row>
    <row r="839" ht="14.25" customHeight="1">
      <c r="G839" s="55"/>
    </row>
    <row r="840" ht="14.25" customHeight="1">
      <c r="G840" s="55"/>
    </row>
    <row r="841" ht="14.25" customHeight="1">
      <c r="G841" s="55"/>
    </row>
    <row r="842" ht="14.25" customHeight="1">
      <c r="G842" s="55"/>
    </row>
    <row r="843" ht="14.25" customHeight="1">
      <c r="G843" s="55"/>
    </row>
    <row r="844" ht="14.25" customHeight="1">
      <c r="G844" s="55"/>
    </row>
    <row r="845" ht="14.25" customHeight="1">
      <c r="G845" s="55"/>
    </row>
    <row r="846" ht="14.25" customHeight="1">
      <c r="G846" s="55"/>
    </row>
    <row r="847" ht="14.25" customHeight="1">
      <c r="G847" s="55"/>
    </row>
    <row r="848" ht="14.25" customHeight="1">
      <c r="G848" s="55"/>
    </row>
    <row r="849" ht="14.25" customHeight="1">
      <c r="G849" s="55"/>
    </row>
    <row r="850" ht="14.25" customHeight="1">
      <c r="G850" s="55"/>
    </row>
    <row r="851" ht="14.25" customHeight="1">
      <c r="G851" s="55"/>
    </row>
    <row r="852" ht="14.25" customHeight="1">
      <c r="G852" s="55"/>
    </row>
    <row r="853" ht="14.25" customHeight="1">
      <c r="G853" s="55"/>
    </row>
    <row r="854" ht="14.25" customHeight="1">
      <c r="G854" s="55"/>
    </row>
    <row r="855" ht="14.25" customHeight="1">
      <c r="G855" s="55"/>
    </row>
    <row r="856" ht="14.25" customHeight="1">
      <c r="G856" s="55"/>
    </row>
    <row r="857" ht="14.25" customHeight="1">
      <c r="G857" s="55"/>
    </row>
    <row r="858" ht="14.25" customHeight="1">
      <c r="G858" s="55"/>
    </row>
    <row r="859" ht="14.25" customHeight="1">
      <c r="G859" s="55"/>
    </row>
    <row r="860" ht="14.25" customHeight="1">
      <c r="G860" s="55"/>
    </row>
    <row r="861" ht="14.25" customHeight="1">
      <c r="G861" s="55"/>
    </row>
    <row r="862" ht="14.25" customHeight="1">
      <c r="G862" s="55"/>
    </row>
    <row r="863" ht="14.25" customHeight="1">
      <c r="G863" s="55"/>
    </row>
    <row r="864" ht="14.25" customHeight="1">
      <c r="G864" s="55"/>
    </row>
    <row r="865" ht="14.25" customHeight="1">
      <c r="G865" s="55"/>
    </row>
    <row r="866" ht="14.25" customHeight="1">
      <c r="G866" s="55"/>
    </row>
    <row r="867" ht="14.25" customHeight="1">
      <c r="G867" s="55"/>
    </row>
    <row r="868" ht="14.25" customHeight="1">
      <c r="G868" s="55"/>
    </row>
    <row r="869" ht="14.25" customHeight="1">
      <c r="G869" s="55"/>
    </row>
    <row r="870" ht="14.25" customHeight="1">
      <c r="G870" s="55"/>
    </row>
    <row r="871" ht="14.25" customHeight="1">
      <c r="G871" s="55"/>
    </row>
    <row r="872" ht="14.25" customHeight="1">
      <c r="G872" s="55"/>
    </row>
    <row r="873" ht="14.25" customHeight="1">
      <c r="G873" s="55"/>
    </row>
    <row r="874" ht="14.25" customHeight="1">
      <c r="G874" s="55"/>
    </row>
    <row r="875" ht="14.25" customHeight="1">
      <c r="G875" s="55"/>
    </row>
    <row r="876" ht="14.25" customHeight="1">
      <c r="G876" s="55"/>
    </row>
    <row r="877" ht="14.25" customHeight="1">
      <c r="G877" s="55"/>
    </row>
    <row r="878" ht="14.25" customHeight="1">
      <c r="G878" s="55"/>
    </row>
    <row r="879" ht="14.25" customHeight="1">
      <c r="G879" s="55"/>
    </row>
    <row r="880" ht="14.25" customHeight="1">
      <c r="G880" s="55"/>
    </row>
    <row r="881" ht="14.25" customHeight="1">
      <c r="G881" s="55"/>
    </row>
    <row r="882" ht="14.25" customHeight="1">
      <c r="G882" s="55"/>
    </row>
    <row r="883" ht="14.25" customHeight="1">
      <c r="G883" s="55"/>
    </row>
    <row r="884" ht="14.25" customHeight="1">
      <c r="G884" s="55"/>
    </row>
    <row r="885" ht="14.25" customHeight="1">
      <c r="G885" s="55"/>
    </row>
    <row r="886" ht="14.25" customHeight="1">
      <c r="G886" s="55"/>
    </row>
    <row r="887" ht="14.25" customHeight="1">
      <c r="G887" s="55"/>
    </row>
    <row r="888" ht="14.25" customHeight="1">
      <c r="G888" s="55"/>
    </row>
    <row r="889" ht="14.25" customHeight="1">
      <c r="G889" s="55"/>
    </row>
    <row r="890" ht="14.25" customHeight="1">
      <c r="G890" s="55"/>
    </row>
    <row r="891" ht="14.25" customHeight="1">
      <c r="G891" s="55"/>
    </row>
    <row r="892" ht="14.25" customHeight="1">
      <c r="G892" s="55"/>
    </row>
    <row r="893" ht="14.25" customHeight="1">
      <c r="G893" s="55"/>
    </row>
    <row r="894" ht="14.25" customHeight="1">
      <c r="G894" s="55"/>
    </row>
    <row r="895" ht="14.25" customHeight="1">
      <c r="G895" s="55"/>
    </row>
    <row r="896" ht="14.25" customHeight="1">
      <c r="G896" s="55"/>
    </row>
    <row r="897" ht="14.25" customHeight="1">
      <c r="G897" s="55"/>
    </row>
    <row r="898" ht="14.25" customHeight="1">
      <c r="G898" s="55"/>
    </row>
    <row r="899" ht="14.25" customHeight="1">
      <c r="G899" s="55"/>
    </row>
    <row r="900" ht="14.25" customHeight="1">
      <c r="G900" s="55"/>
    </row>
    <row r="901" ht="14.25" customHeight="1">
      <c r="G901" s="55"/>
    </row>
    <row r="902" ht="14.25" customHeight="1">
      <c r="G902" s="55"/>
    </row>
    <row r="903" ht="14.25" customHeight="1">
      <c r="G903" s="55"/>
    </row>
    <row r="904" ht="14.25" customHeight="1">
      <c r="G904" s="55"/>
    </row>
    <row r="905" ht="14.25" customHeight="1">
      <c r="G905" s="55"/>
    </row>
    <row r="906" ht="14.25" customHeight="1">
      <c r="G906" s="55"/>
    </row>
    <row r="907" ht="14.25" customHeight="1">
      <c r="G907" s="55"/>
    </row>
    <row r="908" ht="14.25" customHeight="1">
      <c r="G908" s="55"/>
    </row>
    <row r="909" ht="14.25" customHeight="1">
      <c r="G909" s="55"/>
    </row>
  </sheetData>
  <mergeCells count="5">
    <mergeCell ref="F6:G6"/>
    <mergeCell ref="F8:G8"/>
    <mergeCell ref="B10:B13"/>
    <mergeCell ref="B16:B19"/>
    <mergeCell ref="B21:B22"/>
  </mergeCells>
  <conditionalFormatting sqref="C1">
    <cfRule type="notContainsBlanks" dxfId="8" priority="1">
      <formula>LEN(TRIM(C1))&gt;0</formula>
    </cfRule>
  </conditionalFormatting>
  <dataValidations>
    <dataValidation type="list" allowBlank="1" sqref="C36">
      <formula1>"Gross Margin,Net Margin"</formula1>
    </dataValidation>
    <dataValidation type="list" allowBlank="1" sqref="C3">
      <formula1>"Nómina,Prestación de Servicios,Deel/Ontop"</formula1>
    </dataValidation>
    <dataValidation type="list" allowBlank="1" showErrorMessage="1" sqref="D25:D32">
      <formula1>"Nómina,P. Servicios"</formula1>
    </dataValidation>
    <dataValidation type="list" allowBlank="1" sqref="B25:B32">
      <formula1>'Parámetros'!$A$2:$A$113</formula1>
    </dataValidation>
    <dataValidation type="list" allowBlank="1" sqref="C2">
      <formula1>'Parámetros'!$A$118:$A$123</formula1>
    </dataValidation>
    <dataValidation type="list" allowBlank="1" sqref="D36">
      <formula1>"COP,USD"</formula1>
    </dataValidation>
  </dataValidations>
  <printOptions/>
  <pageMargins bottom="0.75" footer="0.0" header="0.0" left="0.7" right="0.7" top="0.75"/>
  <pageSetup orientation="portrait"/>
  <drawing r:id="rId1"/>
  <tableParts count="3">
    <tablePart r:id="rId5"/>
    <tablePart r:id="rId6"/>
    <tablePart r:id="rId7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4.14"/>
    <col customWidth="1" min="2" max="2" width="38.43"/>
    <col customWidth="1" min="3" max="3" width="23.14"/>
    <col customWidth="1" min="4" max="4" width="16.29"/>
    <col customWidth="1" min="5" max="5" width="14.86"/>
    <col customWidth="1" min="6" max="6" width="18.0"/>
    <col customWidth="1" min="7" max="7" width="16.29"/>
    <col customWidth="1" min="8" max="8" width="15.14"/>
    <col customWidth="1" min="9" max="9" width="19.0"/>
    <col customWidth="1" min="10" max="10" width="17.0"/>
    <col customWidth="1" min="11" max="11" width="14.86"/>
    <col customWidth="1" min="12" max="12" width="14.71"/>
    <col customWidth="1" min="13" max="13" width="17.29"/>
    <col customWidth="1" min="14" max="14" width="15.57"/>
    <col customWidth="1" min="15" max="15" width="10.71"/>
    <col customWidth="1" min="16" max="16" width="23.14"/>
    <col customWidth="1" min="17" max="17" width="17.57"/>
    <col customWidth="1" min="18" max="18" width="15.71"/>
    <col customWidth="1" min="19" max="19" width="18.86"/>
    <col customWidth="1" hidden="1" min="20" max="20" width="13.71"/>
    <col customWidth="1" hidden="1" min="21" max="21" width="13.43"/>
    <col customWidth="1" hidden="1" min="22" max="32" width="10.71"/>
  </cols>
  <sheetData>
    <row r="1" ht="8.25" customHeight="1">
      <c r="A1" s="200"/>
      <c r="B1" s="200"/>
      <c r="C1" s="200"/>
      <c r="D1" s="200"/>
      <c r="E1" s="200"/>
      <c r="F1" s="200"/>
      <c r="G1" s="201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</row>
    <row r="2" ht="15.75" customHeight="1">
      <c r="A2" s="200"/>
      <c r="B2" s="202" t="s">
        <v>150</v>
      </c>
      <c r="C2" s="203" t="s">
        <v>93</v>
      </c>
      <c r="D2" s="16"/>
      <c r="E2" s="200"/>
      <c r="F2" s="200"/>
      <c r="G2" s="205"/>
      <c r="H2" s="206"/>
      <c r="I2" s="206"/>
      <c r="J2" s="207"/>
      <c r="K2" s="206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0"/>
      <c r="AD2" s="200"/>
      <c r="AE2" s="200"/>
      <c r="AF2" s="200"/>
    </row>
    <row r="3" ht="15.75" customHeight="1">
      <c r="A3" s="200"/>
      <c r="B3" s="202" t="s">
        <v>25</v>
      </c>
      <c r="C3" s="208" t="s">
        <v>41</v>
      </c>
      <c r="D3" s="16"/>
      <c r="E3" s="200"/>
      <c r="F3" s="209"/>
      <c r="G3" s="210"/>
      <c r="H3" s="200"/>
      <c r="I3" s="200"/>
      <c r="J3" s="211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200"/>
    </row>
    <row r="4" ht="15.75" customHeight="1">
      <c r="A4" s="200"/>
      <c r="B4" s="202" t="s">
        <v>27</v>
      </c>
      <c r="C4" s="307">
        <f>VLOOKUP(C2,'Parámetros'!$A$118:$B$124,2,0)*IF(C3="Nómina",1.38522,IF(C3="Prestación de Servicios",1,1.15))</f>
        <v>0.1177437</v>
      </c>
      <c r="D4" s="16"/>
      <c r="E4" s="200"/>
      <c r="H4" s="200"/>
      <c r="I4" s="200"/>
      <c r="J4" s="211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</row>
    <row r="5" ht="15.75" customHeight="1">
      <c r="A5" s="200"/>
      <c r="B5" s="202" t="s">
        <v>28</v>
      </c>
      <c r="C5" s="218">
        <v>0.0</v>
      </c>
      <c r="D5" s="16"/>
      <c r="F5" s="219" t="s">
        <v>155</v>
      </c>
      <c r="G5" s="220">
        <f>VLOOKUP($C$2,'Parámetros'!$A$118:$D$124,3,0)</f>
        <v>0.3</v>
      </c>
      <c r="I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</row>
    <row r="6" ht="15.75" customHeight="1">
      <c r="A6" s="200"/>
      <c r="B6" s="202" t="s">
        <v>156</v>
      </c>
      <c r="C6" s="218">
        <v>0.0</v>
      </c>
      <c r="D6" s="16"/>
      <c r="F6" s="221" t="str">
        <f>IF(D11&gt;=G5,"Dentro del margen","¡Por debajo del margen!")</f>
        <v>Dentro del margen</v>
      </c>
      <c r="I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0"/>
      <c r="AA6" s="200"/>
      <c r="AB6" s="200"/>
      <c r="AC6" s="200"/>
      <c r="AD6" s="200"/>
      <c r="AE6" s="200"/>
      <c r="AF6" s="200"/>
    </row>
    <row r="7" ht="15.75" customHeight="1">
      <c r="A7" s="200"/>
      <c r="B7" s="202" t="s">
        <v>157</v>
      </c>
      <c r="C7" s="222"/>
      <c r="D7" s="16"/>
      <c r="E7" s="200"/>
      <c r="H7" s="200"/>
      <c r="I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  <c r="AA7" s="200"/>
      <c r="AB7" s="200"/>
      <c r="AC7" s="200"/>
      <c r="AD7" s="200"/>
      <c r="AE7" s="200"/>
      <c r="AF7" s="200"/>
    </row>
    <row r="8" ht="15.75" customHeight="1">
      <c r="A8" s="200"/>
      <c r="B8" s="202" t="s">
        <v>158</v>
      </c>
      <c r="C8" s="208">
        <v>1.0</v>
      </c>
      <c r="D8" s="16"/>
      <c r="E8" s="200"/>
      <c r="H8" s="223"/>
      <c r="I8" s="223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</row>
    <row r="9" ht="15.75" customHeight="1">
      <c r="A9" s="200"/>
      <c r="B9" s="224"/>
      <c r="C9" s="16"/>
      <c r="D9" s="16"/>
      <c r="E9" s="200"/>
      <c r="F9" s="202" t="s">
        <v>44</v>
      </c>
      <c r="G9" s="225" t="s">
        <v>45</v>
      </c>
      <c r="I9" s="318" t="s">
        <v>193</v>
      </c>
      <c r="J9" s="319">
        <v>1.03E7</v>
      </c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200"/>
      <c r="AC9" s="200"/>
      <c r="AD9" s="200"/>
      <c r="AE9" s="200"/>
      <c r="AF9" s="200"/>
    </row>
    <row r="10" ht="13.5" customHeight="1">
      <c r="B10" s="226" t="s">
        <v>7</v>
      </c>
      <c r="C10" s="17" t="s">
        <v>6</v>
      </c>
      <c r="D10" s="227">
        <f>F10*C4</f>
        <v>79476.9975</v>
      </c>
      <c r="E10" s="228" t="s">
        <v>194</v>
      </c>
      <c r="F10" s="320">
        <f>((C54+C50+C52)/((1-D11-'Parámetros'!L8*C5)))*IF(C6=1,102.4%,1)</f>
        <v>675000</v>
      </c>
      <c r="G10" s="321">
        <f>F10/'Parámetros'!$L$3</f>
        <v>190.1408451</v>
      </c>
      <c r="I10" s="322" t="s">
        <v>186</v>
      </c>
      <c r="J10" s="323">
        <f>C50+C52+C54</f>
        <v>472500</v>
      </c>
      <c r="M10" s="23"/>
      <c r="N10" s="24"/>
      <c r="O10" s="24"/>
    </row>
    <row r="11" ht="15.0" customHeight="1">
      <c r="B11" s="27"/>
      <c r="C11" s="17" t="s">
        <v>9</v>
      </c>
      <c r="D11" s="231">
        <v>0.3</v>
      </c>
      <c r="E11" s="228" t="s">
        <v>195</v>
      </c>
      <c r="F11" s="320">
        <f>F10/C8</f>
        <v>675000</v>
      </c>
      <c r="G11" s="321">
        <f>F11/'Parámetros'!$L$3</f>
        <v>190.1408451</v>
      </c>
      <c r="I11" s="324" t="s">
        <v>196</v>
      </c>
      <c r="J11" s="325">
        <f>J9-J10</f>
        <v>9827500</v>
      </c>
      <c r="M11" s="23"/>
      <c r="N11" s="24"/>
      <c r="O11" s="24"/>
    </row>
    <row r="12" ht="17.25" customHeight="1">
      <c r="B12" s="27"/>
      <c r="C12" s="17" t="s">
        <v>15</v>
      </c>
      <c r="D12" s="227">
        <f>F10*'Parámetros'!L5</f>
        <v>4657.5</v>
      </c>
      <c r="E12" s="228" t="s">
        <v>197</v>
      </c>
      <c r="F12" s="320">
        <f>F10/SUM(D39:D45)</f>
        <v>3571.428571</v>
      </c>
      <c r="G12" s="321">
        <f>G10/SUM(D39:D45)</f>
        <v>1.006036217</v>
      </c>
      <c r="I12" s="326" t="s">
        <v>92</v>
      </c>
      <c r="J12" s="327">
        <f>J11/J9</f>
        <v>0.9541262136</v>
      </c>
      <c r="L12" s="22"/>
      <c r="O12" s="28"/>
      <c r="P12" s="28"/>
      <c r="Q12" s="28"/>
    </row>
    <row r="13" ht="14.25" customHeight="1">
      <c r="B13" s="43"/>
      <c r="C13" s="17" t="s">
        <v>18</v>
      </c>
      <c r="D13" s="240">
        <f>(F10-C55-D12-D10-C5*'Parámetros'!L8*F10)/F10</f>
        <v>0.1753563</v>
      </c>
      <c r="G13" s="55"/>
      <c r="I13" s="324" t="s">
        <v>198</v>
      </c>
      <c r="J13" s="328">
        <f>D10</f>
        <v>79476.9975</v>
      </c>
      <c r="L13" s="32"/>
      <c r="M13" s="33"/>
      <c r="O13" s="28"/>
      <c r="P13" s="28"/>
      <c r="Q13" s="28"/>
    </row>
    <row r="14" ht="14.25" customHeight="1">
      <c r="D14" s="235"/>
      <c r="F14" s="236"/>
      <c r="G14" s="55"/>
      <c r="I14" s="329" t="s">
        <v>66</v>
      </c>
      <c r="J14" s="328">
        <f>D12</f>
        <v>4657.5</v>
      </c>
      <c r="L14" s="32"/>
      <c r="M14" s="37"/>
      <c r="N14" s="38"/>
      <c r="O14" s="39"/>
    </row>
    <row r="15" ht="14.25" customHeight="1">
      <c r="F15" s="236"/>
      <c r="G15" s="55"/>
      <c r="I15" s="324" t="s">
        <v>199</v>
      </c>
      <c r="J15" s="330">
        <f>C53</f>
        <v>0</v>
      </c>
      <c r="L15" s="22"/>
    </row>
    <row r="16" ht="15.75" customHeight="1">
      <c r="B16" s="226" t="s">
        <v>22</v>
      </c>
      <c r="C16" s="17" t="s">
        <v>6</v>
      </c>
      <c r="D16" s="227">
        <f>F16*C4</f>
        <v>117036.2068</v>
      </c>
      <c r="E16" s="228" t="s">
        <v>194</v>
      </c>
      <c r="F16" s="320">
        <f>+(C55/(1-C4-D17-'Parámetros'!L5-C5*'Parámetros'!L8))*IF(C6=1,102.4%,1)</f>
        <v>993991.244</v>
      </c>
      <c r="G16" s="321">
        <f>F16/'Parámetros'!L3</f>
        <v>279.9975335</v>
      </c>
      <c r="I16" s="324" t="s">
        <v>200</v>
      </c>
      <c r="J16" s="325">
        <f>J11-J13-J14-J15</f>
        <v>9743365.503</v>
      </c>
      <c r="L16" s="22"/>
    </row>
    <row r="17" ht="16.5" customHeight="1">
      <c r="B17" s="27"/>
      <c r="C17" s="17" t="s">
        <v>18</v>
      </c>
      <c r="D17" s="231">
        <v>0.4</v>
      </c>
      <c r="E17" s="228" t="s">
        <v>195</v>
      </c>
      <c r="F17" s="320">
        <f>F16/C8</f>
        <v>993991.244</v>
      </c>
      <c r="G17" s="321">
        <f>G16/C8</f>
        <v>279.9975335</v>
      </c>
      <c r="I17" s="326" t="s">
        <v>201</v>
      </c>
      <c r="J17" s="327">
        <f>J16/J9</f>
        <v>0.9459578158</v>
      </c>
      <c r="L17" s="32"/>
      <c r="M17" s="33"/>
    </row>
    <row r="18" ht="17.25" customHeight="1">
      <c r="B18" s="27"/>
      <c r="C18" s="17" t="s">
        <v>15</v>
      </c>
      <c r="D18" s="227">
        <f>F16*'Parámetros'!L5</f>
        <v>6858.539584</v>
      </c>
      <c r="E18" s="228" t="s">
        <v>197</v>
      </c>
      <c r="F18" s="320">
        <f>F16/SUM(D39:D45)</f>
        <v>5259.212931</v>
      </c>
      <c r="G18" s="321">
        <f>G16/SUM(D39:D45)</f>
        <v>1.481468431</v>
      </c>
      <c r="L18" s="22"/>
      <c r="M18" s="55"/>
    </row>
    <row r="19" ht="14.25" customHeight="1">
      <c r="B19" s="43"/>
      <c r="C19" s="17" t="s">
        <v>9</v>
      </c>
      <c r="D19" s="240">
        <f>(F16-C50-C52-C54-C5*'Parámetros'!L8*F16)/F16</f>
        <v>0.5246437</v>
      </c>
      <c r="E19" s="241"/>
      <c r="G19" s="55"/>
    </row>
    <row r="20" ht="14.25" customHeight="1">
      <c r="G20" s="55"/>
    </row>
    <row r="21" ht="14.25" customHeight="1">
      <c r="B21" s="243" t="str">
        <f>'Parámetros'!B149</f>
        <v>Considerar como mínimo por cada Dev: 
 PM:33%, QA:20%, Diseño:10%</v>
      </c>
      <c r="C21" s="244"/>
      <c r="G21" s="55"/>
      <c r="M21" s="245"/>
    </row>
    <row r="22" ht="15.75" customHeight="1">
      <c r="B22" s="246"/>
      <c r="C22" s="244"/>
      <c r="G22" s="55"/>
    </row>
    <row r="23" ht="15.75" customHeight="1">
      <c r="E23" s="247">
        <f>SUM(E25:E32)</f>
        <v>1.05</v>
      </c>
      <c r="G23" s="248"/>
    </row>
    <row r="24" ht="14.25" customHeight="1">
      <c r="B24" s="249" t="s">
        <v>31</v>
      </c>
      <c r="C24" s="249" t="s">
        <v>32</v>
      </c>
      <c r="D24" s="249" t="s">
        <v>33</v>
      </c>
      <c r="E24" s="250" t="s">
        <v>35</v>
      </c>
      <c r="F24" s="250" t="s">
        <v>164</v>
      </c>
      <c r="G24" s="250" t="s">
        <v>165</v>
      </c>
      <c r="H24" s="250" t="s">
        <v>37</v>
      </c>
      <c r="I24" s="146"/>
      <c r="J24" s="146"/>
      <c r="L24" s="67"/>
    </row>
    <row r="25" ht="14.25" customHeight="1">
      <c r="A25" s="251">
        <f>IFERROR(__xludf.DUMMYFUNCTION("COUNTIF(SPLIT(B25,"" ""),""Developer"")"),1.0)</f>
        <v>1</v>
      </c>
      <c r="B25" s="252" t="s">
        <v>40</v>
      </c>
      <c r="C25" s="68" t="str">
        <f>IFERROR(VLOOKUP(B25,'Parámetros'!A$1:B113,2, FALSE),"")</f>
        <v/>
      </c>
      <c r="D25" s="208" t="s">
        <v>41</v>
      </c>
      <c r="E25" s="253">
        <v>0.5</v>
      </c>
      <c r="F25" s="68">
        <f t="shared" ref="F25:F32" si="1">+IFERROR(IF(D25="Nómina",C25*1.38352,C25),"")*E25*105%</f>
        <v>0</v>
      </c>
      <c r="G25" s="68">
        <f t="shared" ref="G25:G32" si="2">F25*C$8</f>
        <v>0</v>
      </c>
      <c r="H25" s="254">
        <f>F25/(AVERAGE('Parámetros'!$F$5:$F$6)+$F$33)</f>
        <v>0</v>
      </c>
      <c r="I25" s="146"/>
      <c r="J25" s="146"/>
      <c r="L25" s="73"/>
    </row>
    <row r="26" ht="14.25" customHeight="1">
      <c r="A26" s="251">
        <f>IFERROR(__xludf.DUMMYFUNCTION("COUNTIF(SPLIT(B26,"" ""),""Developer"")"),0.0)</f>
        <v>0</v>
      </c>
      <c r="B26" s="255" t="s">
        <v>43</v>
      </c>
      <c r="C26" s="68" t="str">
        <f>IFERROR(VLOOKUP(B26,'Parámetros'!A$1:B113,2, FALSE),"")</f>
        <v/>
      </c>
      <c r="D26" s="208" t="s">
        <v>41</v>
      </c>
      <c r="E26" s="256">
        <v>0.15</v>
      </c>
      <c r="F26" s="68">
        <f t="shared" si="1"/>
        <v>0</v>
      </c>
      <c r="G26" s="68">
        <f t="shared" si="2"/>
        <v>0</v>
      </c>
      <c r="H26" s="254">
        <f>G26/(AVERAGE('Parámetros'!$F$5:$F$6)+$F$33)</f>
        <v>0</v>
      </c>
      <c r="I26" s="146"/>
      <c r="J26" s="146"/>
      <c r="L26" s="73"/>
      <c r="R26" s="74"/>
    </row>
    <row r="27" ht="14.25" customHeight="1">
      <c r="A27" s="251">
        <f>IFERROR(__xludf.DUMMYFUNCTION("COUNTIF(SPLIT(B27,"" ""),""Developer"")"),0.0)</f>
        <v>0</v>
      </c>
      <c r="B27" s="255" t="s">
        <v>184</v>
      </c>
      <c r="C27" s="68" t="str">
        <f>IFERROR(VLOOKUP(B27,'Parámetros'!A$1:B113,2, FALSE),"")</f>
        <v/>
      </c>
      <c r="D27" s="208" t="s">
        <v>41</v>
      </c>
      <c r="E27" s="256">
        <v>0.2</v>
      </c>
      <c r="F27" s="68">
        <f t="shared" si="1"/>
        <v>0</v>
      </c>
      <c r="G27" s="68">
        <f t="shared" si="2"/>
        <v>0</v>
      </c>
      <c r="H27" s="254">
        <f>G27/(AVERAGE('Parámetros'!$F$5:$F$6)+$F$33)</f>
        <v>0</v>
      </c>
      <c r="I27" s="146"/>
      <c r="J27" s="146"/>
      <c r="L27" s="73"/>
    </row>
    <row r="28" ht="14.25" customHeight="1">
      <c r="A28" s="251">
        <f>IFERROR(__xludf.DUMMYFUNCTION("COUNTIF(SPLIT(B28,"" ""),""Developer"")"),0.0)</f>
        <v>0</v>
      </c>
      <c r="B28" s="255" t="s">
        <v>42</v>
      </c>
      <c r="C28" s="68" t="str">
        <f>IFERROR(VLOOKUP(B28,'Parámetros'!A$1:B114,2, FALSE),"")</f>
        <v/>
      </c>
      <c r="D28" s="208" t="s">
        <v>41</v>
      </c>
      <c r="E28" s="257">
        <v>0.2</v>
      </c>
      <c r="F28" s="68">
        <f t="shared" si="1"/>
        <v>0</v>
      </c>
      <c r="G28" s="68">
        <f t="shared" si="2"/>
        <v>0</v>
      </c>
      <c r="H28" s="254">
        <f>G28/(AVERAGE('Parámetros'!$F$5:$F$6)+$F$33)</f>
        <v>0</v>
      </c>
      <c r="I28" s="146"/>
      <c r="J28" s="146"/>
      <c r="L28" s="73"/>
    </row>
    <row r="29" ht="14.25" customHeight="1">
      <c r="A29" s="251">
        <f>IFERROR(__xludf.DUMMYFUNCTION("COUNTIF(SPLIT(B29,"" ""),""Developer"")"),0.0)</f>
        <v>0</v>
      </c>
      <c r="B29" s="255"/>
      <c r="C29" s="68" t="str">
        <f>IFERROR(VLOOKUP(B29,'Parámetros'!A$1:B115,2, FALSE),"")</f>
        <v/>
      </c>
      <c r="D29" s="208" t="s">
        <v>41</v>
      </c>
      <c r="E29" s="256"/>
      <c r="F29" s="68">
        <f t="shared" si="1"/>
        <v>0</v>
      </c>
      <c r="G29" s="68">
        <f t="shared" si="2"/>
        <v>0</v>
      </c>
      <c r="H29" s="254">
        <f>G29/(AVERAGE('Parámetros'!$F$5:$F$6)+$F$33)</f>
        <v>0</v>
      </c>
      <c r="I29" s="146"/>
      <c r="J29" s="146"/>
      <c r="L29" s="73"/>
    </row>
    <row r="30" ht="14.25" customHeight="1">
      <c r="A30" s="251">
        <f>IFERROR(__xludf.DUMMYFUNCTION("COUNTIF(SPLIT(B30,"" ""),""Developer"")"),0.0)</f>
        <v>0</v>
      </c>
      <c r="B30" s="304"/>
      <c r="C30" s="68" t="str">
        <f>IFERROR(VLOOKUP(B30,'Parámetros'!A$1:B116,2, FALSE),"")</f>
        <v/>
      </c>
      <c r="D30" s="208" t="s">
        <v>41</v>
      </c>
      <c r="E30" s="258"/>
      <c r="F30" s="68">
        <f t="shared" si="1"/>
        <v>0</v>
      </c>
      <c r="G30" s="68">
        <f t="shared" si="2"/>
        <v>0</v>
      </c>
      <c r="H30" s="254">
        <f>G30/(AVERAGE('Parámetros'!$F$5:$F$6)+$F$33)</f>
        <v>0</v>
      </c>
      <c r="I30" s="146"/>
      <c r="J30" s="146"/>
      <c r="K30" s="146"/>
    </row>
    <row r="31" ht="14.25" customHeight="1">
      <c r="A31" s="251">
        <f>IFERROR(__xludf.DUMMYFUNCTION("COUNTIF(SPLIT(B31,"" ""),""Developer"")"),0.0)</f>
        <v>0</v>
      </c>
      <c r="B31" s="304"/>
      <c r="C31" s="68" t="str">
        <f>IFERROR(VLOOKUP(B31,'Parámetros'!A$1:B117,2, FALSE),"")</f>
        <v/>
      </c>
      <c r="D31" s="208" t="s">
        <v>41</v>
      </c>
      <c r="E31" s="258"/>
      <c r="F31" s="68">
        <f t="shared" si="1"/>
        <v>0</v>
      </c>
      <c r="G31" s="68">
        <f t="shared" si="2"/>
        <v>0</v>
      </c>
      <c r="H31" s="254">
        <f>G31/(AVERAGE('Parámetros'!$F$5:$F$6)+$F$33)</f>
        <v>0</v>
      </c>
      <c r="I31" s="146"/>
      <c r="J31" s="146"/>
      <c r="K31" s="146"/>
    </row>
    <row r="32" ht="14.25" customHeight="1">
      <c r="A32" s="251">
        <f>IFERROR(__xludf.DUMMYFUNCTION("COUNTIF(SPLIT(B32,"" ""),""Developer"")"),0.0)</f>
        <v>0</v>
      </c>
      <c r="B32" s="304"/>
      <c r="C32" s="68" t="str">
        <f>iferror(VLOOKUP(B32,'Parámetros'!A$1:B127,2, FALSE),"")</f>
        <v/>
      </c>
      <c r="D32" s="208" t="s">
        <v>41</v>
      </c>
      <c r="E32" s="258"/>
      <c r="F32" s="68">
        <f t="shared" si="1"/>
        <v>0</v>
      </c>
      <c r="G32" s="68">
        <f t="shared" si="2"/>
        <v>0</v>
      </c>
      <c r="H32" s="254">
        <f>G32/(AVERAGE('Parámetros'!$F$5:$F$6)+$F$33)</f>
        <v>0</v>
      </c>
      <c r="I32" s="146"/>
      <c r="J32" s="146"/>
      <c r="K32" s="146"/>
    </row>
    <row r="33" ht="14.25" customHeight="1">
      <c r="F33" s="259">
        <f t="shared" ref="F33:H33" si="3">SUM(F25:F32)</f>
        <v>0</v>
      </c>
      <c r="G33" s="259">
        <f t="shared" si="3"/>
        <v>0</v>
      </c>
      <c r="H33" s="260">
        <f t="shared" si="3"/>
        <v>0</v>
      </c>
      <c r="M33" s="90"/>
      <c r="N33" s="91"/>
      <c r="O33" s="92"/>
      <c r="P33" s="93"/>
      <c r="Q33" s="94"/>
    </row>
    <row r="34" ht="14.25" customHeight="1">
      <c r="G34" s="55"/>
    </row>
    <row r="35" ht="14.25" customHeight="1">
      <c r="G35" s="55"/>
    </row>
    <row r="36" ht="14.25" customHeight="1">
      <c r="C36" s="261" t="s">
        <v>9</v>
      </c>
      <c r="D36" s="261" t="s">
        <v>45</v>
      </c>
      <c r="G36" s="55"/>
    </row>
    <row r="37" ht="14.25" customHeight="1">
      <c r="F37" s="97"/>
      <c r="G37" s="55"/>
    </row>
    <row r="38" ht="14.25" customHeight="1">
      <c r="B38" s="262" t="s">
        <v>31</v>
      </c>
      <c r="C38" s="261" t="s">
        <v>35</v>
      </c>
      <c r="D38" s="291" t="s">
        <v>48</v>
      </c>
      <c r="E38" s="292" t="s">
        <v>50</v>
      </c>
      <c r="F38" s="292" t="s">
        <v>159</v>
      </c>
      <c r="G38" s="55"/>
    </row>
    <row r="39" ht="14.25" customHeight="1">
      <c r="B39" s="264" t="str">
        <f t="shared" ref="B39:B45" si="4">B25</f>
        <v>Software Developer Junior Nivel 1</v>
      </c>
      <c r="C39" s="265">
        <f t="shared" ref="C39:C45" si="5">E25</f>
        <v>0.5</v>
      </c>
      <c r="D39" s="268">
        <f t="shared" ref="D39:D45" si="6">C39*180</f>
        <v>90</v>
      </c>
      <c r="E39" s="267">
        <f>IFERROR((IF($C$36="Gross Margin",F25/$F$33*$F$10,IF($C$36="Net Margin",F25/$F$33*$F$16,"Error")))/D39,"")/IF($D$36="USD",'Parámetros'!$L$3,1)</f>
        <v>0</v>
      </c>
      <c r="F39" s="267">
        <f t="shared" ref="F39:F45" si="7">E39*D39</f>
        <v>0</v>
      </c>
      <c r="G39" s="55"/>
    </row>
    <row r="40" ht="14.25" customHeight="1">
      <c r="B40" s="264" t="str">
        <f t="shared" si="4"/>
        <v>Diseñador Junior</v>
      </c>
      <c r="C40" s="265">
        <f t="shared" si="5"/>
        <v>0.15</v>
      </c>
      <c r="D40" s="268">
        <f t="shared" si="6"/>
        <v>27</v>
      </c>
      <c r="E40" s="267">
        <f>IFERROR((IF($C$36="Gross Margin",F26/$F$33*$F$10,IF($C$36="Net Margin",F26/$F$33*$F$16,"Error")))/D40,"")/IF($D$36="USD",'Parámetros'!$L$3,1)</f>
        <v>0</v>
      </c>
      <c r="F40" s="267">
        <f t="shared" si="7"/>
        <v>0</v>
      </c>
      <c r="G40" s="55"/>
    </row>
    <row r="41" ht="14.25" customHeight="1">
      <c r="B41" s="264" t="str">
        <f t="shared" si="4"/>
        <v>QA Engineer Junior</v>
      </c>
      <c r="C41" s="265">
        <f t="shared" si="5"/>
        <v>0.2</v>
      </c>
      <c r="D41" s="268">
        <f t="shared" si="6"/>
        <v>36</v>
      </c>
      <c r="E41" s="267">
        <f>IFERROR((IF($C$36="Gross Margin",F27/$F$33*$F$10,IF($C$36="Net Margin",F27/$F$33*$F$16,"Error")))/D41,"")/IF($D$36="USD",'Parámetros'!$L$3,1)</f>
        <v>0</v>
      </c>
      <c r="F41" s="267">
        <f t="shared" si="7"/>
        <v>0</v>
      </c>
      <c r="G41" s="23"/>
    </row>
    <row r="42" ht="14.25" customHeight="1">
      <c r="B42" s="264" t="str">
        <f t="shared" si="4"/>
        <v>Project Analyst Junior</v>
      </c>
      <c r="C42" s="265">
        <f t="shared" si="5"/>
        <v>0.2</v>
      </c>
      <c r="D42" s="268">
        <f t="shared" si="6"/>
        <v>36</v>
      </c>
      <c r="E42" s="267">
        <f>IFERROR((IF($C$36="Gross Margin",F28/$F$33*$F$10,IF($C$36="Net Margin",F28/$F$33*$F$16,"Error")))/D42,"")/IF($D$36="USD",'Parámetros'!$L$3,1)</f>
        <v>0</v>
      </c>
      <c r="F42" s="267">
        <f t="shared" si="7"/>
        <v>0</v>
      </c>
      <c r="G42" s="23"/>
    </row>
    <row r="43" ht="14.25" customHeight="1">
      <c r="B43" s="264" t="str">
        <f t="shared" si="4"/>
        <v/>
      </c>
      <c r="C43" s="265" t="str">
        <f t="shared" si="5"/>
        <v/>
      </c>
      <c r="D43" s="268">
        <f t="shared" si="6"/>
        <v>0</v>
      </c>
      <c r="E43" s="267">
        <f>IFERROR((IF($C$36="Gross Margin",F29/$F$33*$F$10,IF($C$36="Net Margin",F29/$F$33*$F$16,"Error")))/D43,"")/IF($D$36="USD",'Parámetros'!$L$3,1)</f>
        <v>0</v>
      </c>
      <c r="F43" s="267">
        <f t="shared" si="7"/>
        <v>0</v>
      </c>
      <c r="G43" s="55"/>
    </row>
    <row r="44" ht="14.25" customHeight="1">
      <c r="B44" s="264" t="str">
        <f t="shared" si="4"/>
        <v/>
      </c>
      <c r="C44" s="265" t="str">
        <f t="shared" si="5"/>
        <v/>
      </c>
      <c r="D44" s="268">
        <f t="shared" si="6"/>
        <v>0</v>
      </c>
      <c r="E44" s="267">
        <f>IFERROR((IF($C$36="Gross Margin",F30/$F$33*$F$10,IF($C$36="Net Margin",F30/$F$33*$F$16,"Error")))/D44,"")/IF($D$36="USD",'Parámetros'!$L$3,1)</f>
        <v>0</v>
      </c>
      <c r="F44" s="267">
        <f t="shared" si="7"/>
        <v>0</v>
      </c>
      <c r="G44" s="55"/>
    </row>
    <row r="45" ht="14.25" customHeight="1">
      <c r="B45" s="264" t="str">
        <f t="shared" si="4"/>
        <v/>
      </c>
      <c r="C45" s="265" t="str">
        <f t="shared" si="5"/>
        <v/>
      </c>
      <c r="D45" s="268">
        <f t="shared" si="6"/>
        <v>0</v>
      </c>
      <c r="E45" s="267">
        <f>IFERROR((IF($C$36="Gross Margin",F31/$F$33*$F$10,IF($C$36="Net Margin",F31/$F$33*$F$16,"Error")))/D45,"")/IF($D$36="USD",'Parámetros'!$L$3,1)</f>
        <v>0</v>
      </c>
      <c r="F45" s="267">
        <f t="shared" si="7"/>
        <v>0</v>
      </c>
      <c r="G45" s="55"/>
    </row>
    <row r="46" ht="14.25" customHeight="1">
      <c r="G46" s="55"/>
    </row>
    <row r="47" ht="14.25" customHeight="1">
      <c r="G47" s="55"/>
    </row>
    <row r="48" ht="14.25" customHeight="1">
      <c r="D48" s="271"/>
      <c r="E48" s="271"/>
      <c r="G48" s="55"/>
    </row>
    <row r="49" ht="14.25" customHeight="1">
      <c r="B49" s="272" t="s">
        <v>11</v>
      </c>
      <c r="C49" s="272" t="s">
        <v>52</v>
      </c>
      <c r="D49" s="273" t="s">
        <v>116</v>
      </c>
      <c r="E49" s="274"/>
      <c r="G49" s="55"/>
    </row>
    <row r="50" ht="14.25" customHeight="1" outlineLevel="1">
      <c r="A50" s="33"/>
      <c r="B50" s="275" t="s">
        <v>14</v>
      </c>
      <c r="C50" s="276">
        <f>G33</f>
        <v>0</v>
      </c>
      <c r="D50" s="276">
        <f t="shared" ref="D50:D55" si="8">C50/C$8</f>
        <v>0</v>
      </c>
      <c r="E50" s="277"/>
      <c r="F50" s="33"/>
      <c r="G50" s="37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</row>
    <row r="51" ht="14.25" customHeight="1" outlineLevel="1">
      <c r="A51" s="33"/>
      <c r="B51" s="278" t="s">
        <v>17</v>
      </c>
      <c r="C51" s="279">
        <f>C53+C54+C52</f>
        <v>472500</v>
      </c>
      <c r="D51" s="279">
        <f t="shared" si="8"/>
        <v>472500</v>
      </c>
      <c r="E51" s="277"/>
      <c r="F51" s="33"/>
      <c r="G51" s="37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</row>
    <row r="52" ht="14.25" customHeight="1" outlineLevel="1">
      <c r="B52" s="280" t="s">
        <v>19</v>
      </c>
      <c r="C52" s="70">
        <f>E23*5000000*9%*C8</f>
        <v>472500</v>
      </c>
      <c r="D52" s="70">
        <f t="shared" si="8"/>
        <v>472500</v>
      </c>
      <c r="E52" s="271"/>
      <c r="G52" s="55"/>
    </row>
    <row r="53" ht="14.25" customHeight="1" outlineLevel="1">
      <c r="B53" s="280" t="s">
        <v>20</v>
      </c>
      <c r="C53" s="281">
        <f>H33*AVERAGE('Parámetros'!G6:G7)*IF(C2="Network",15%,100%)*IF(C2="Enterprise",40%,100%)</f>
        <v>0</v>
      </c>
      <c r="D53" s="281">
        <f t="shared" si="8"/>
        <v>0</v>
      </c>
      <c r="E53" s="282"/>
      <c r="G53" s="55"/>
    </row>
    <row r="54" ht="14.25" customHeight="1" outlineLevel="1">
      <c r="B54" s="280" t="s">
        <v>21</v>
      </c>
      <c r="C54" s="70">
        <f>H33*AVERAGE('Parámetros'!H7)*IF(C2="Network",15%,100%)</f>
        <v>0</v>
      </c>
      <c r="D54" s="70">
        <f t="shared" si="8"/>
        <v>0</v>
      </c>
      <c r="E54" s="282"/>
      <c r="G54" s="55"/>
    </row>
    <row r="55" ht="14.25" customHeight="1">
      <c r="B55" s="283" t="s">
        <v>23</v>
      </c>
      <c r="C55" s="284">
        <f>C50+C51</f>
        <v>472500</v>
      </c>
      <c r="D55" s="284">
        <f t="shared" si="8"/>
        <v>472500</v>
      </c>
      <c r="E55" s="277"/>
      <c r="G55" s="55"/>
    </row>
    <row r="56" ht="14.25" customHeight="1">
      <c r="B56" s="285" t="s">
        <v>34</v>
      </c>
      <c r="C56" s="286">
        <f t="shared" ref="C56:D56" si="9">C50+C52+C54</f>
        <v>472500</v>
      </c>
      <c r="D56" s="286">
        <f t="shared" si="9"/>
        <v>472500</v>
      </c>
      <c r="E56" s="287"/>
      <c r="G56" s="55"/>
    </row>
    <row r="57">
      <c r="D57" s="271"/>
      <c r="E57" s="271"/>
      <c r="G57" s="55"/>
    </row>
    <row r="58" ht="14.25" customHeight="1">
      <c r="G58" s="55"/>
    </row>
    <row r="59" ht="14.25" customHeight="1">
      <c r="G59" s="55"/>
    </row>
    <row r="60" ht="14.25" customHeight="1">
      <c r="G60" s="55"/>
    </row>
    <row r="61" ht="14.25" customHeight="1">
      <c r="G61" s="55"/>
    </row>
    <row r="62" ht="14.25" customHeight="1">
      <c r="G62" s="55"/>
    </row>
    <row r="63" ht="14.25" customHeight="1">
      <c r="G63" s="55"/>
    </row>
    <row r="64" ht="14.25" customHeight="1">
      <c r="G64" s="55"/>
    </row>
    <row r="65" ht="14.25" customHeight="1">
      <c r="G65" s="55"/>
    </row>
    <row r="66" ht="14.25" customHeight="1">
      <c r="G66" s="55"/>
    </row>
    <row r="67" ht="14.25" customHeight="1">
      <c r="G67" s="55"/>
    </row>
    <row r="68" ht="14.25" customHeight="1">
      <c r="G68" s="55"/>
    </row>
    <row r="69" ht="14.25" customHeight="1">
      <c r="G69" s="55"/>
    </row>
    <row r="70" ht="14.25" customHeight="1">
      <c r="G70" s="55"/>
    </row>
    <row r="71" ht="14.25" customHeight="1">
      <c r="G71" s="55"/>
    </row>
    <row r="72" ht="14.25" customHeight="1">
      <c r="G72" s="55"/>
    </row>
    <row r="73" ht="14.25" customHeight="1">
      <c r="G73" s="55"/>
    </row>
    <row r="74" ht="14.25" customHeight="1">
      <c r="G74" s="55"/>
    </row>
    <row r="75" ht="14.25" customHeight="1">
      <c r="G75" s="55"/>
    </row>
    <row r="76" ht="14.25" customHeight="1">
      <c r="G76" s="55"/>
    </row>
    <row r="77" ht="14.25" customHeight="1">
      <c r="G77" s="55"/>
    </row>
    <row r="78" ht="14.25" customHeight="1">
      <c r="G78" s="55"/>
    </row>
    <row r="79" ht="14.25" customHeight="1">
      <c r="G79" s="55"/>
    </row>
    <row r="80" ht="14.25" customHeight="1">
      <c r="G80" s="55"/>
    </row>
    <row r="81" ht="14.25" customHeight="1">
      <c r="G81" s="55"/>
    </row>
    <row r="82" ht="14.25" customHeight="1">
      <c r="G82" s="55"/>
    </row>
    <row r="83" ht="14.25" customHeight="1">
      <c r="G83" s="55"/>
    </row>
    <row r="84" ht="14.25" customHeight="1">
      <c r="G84" s="55"/>
    </row>
    <row r="85" ht="14.25" customHeight="1">
      <c r="G85" s="55"/>
    </row>
    <row r="86" ht="14.25" customHeight="1">
      <c r="G86" s="55"/>
    </row>
    <row r="87" ht="14.25" customHeight="1">
      <c r="G87" s="55"/>
    </row>
    <row r="88" ht="14.25" customHeight="1">
      <c r="G88" s="55"/>
    </row>
    <row r="89" ht="14.25" customHeight="1">
      <c r="G89" s="55"/>
    </row>
    <row r="90" ht="14.25" customHeight="1">
      <c r="G90" s="55"/>
    </row>
    <row r="91" ht="14.25" customHeight="1">
      <c r="G91" s="55"/>
    </row>
    <row r="92" ht="14.25" customHeight="1">
      <c r="G92" s="55"/>
    </row>
    <row r="93" ht="14.25" customHeight="1">
      <c r="G93" s="55"/>
    </row>
    <row r="94" ht="14.25" customHeight="1">
      <c r="G94" s="55"/>
    </row>
    <row r="95" ht="14.25" customHeight="1">
      <c r="G95" s="55"/>
    </row>
    <row r="96" ht="14.25" customHeight="1">
      <c r="G96" s="55"/>
    </row>
    <row r="97" ht="14.25" customHeight="1">
      <c r="G97" s="55"/>
    </row>
    <row r="98" ht="14.25" customHeight="1">
      <c r="G98" s="55"/>
    </row>
    <row r="99" ht="14.25" customHeight="1">
      <c r="G99" s="55"/>
    </row>
    <row r="100" ht="14.25" customHeight="1">
      <c r="G100" s="55"/>
    </row>
    <row r="101" ht="14.25" customHeight="1">
      <c r="G101" s="55"/>
    </row>
    <row r="102" ht="14.25" customHeight="1">
      <c r="G102" s="55"/>
    </row>
    <row r="103" ht="14.25" customHeight="1">
      <c r="G103" s="55"/>
    </row>
    <row r="104" ht="14.25" customHeight="1">
      <c r="G104" s="55"/>
    </row>
    <row r="105" ht="14.25" customHeight="1">
      <c r="G105" s="55"/>
    </row>
    <row r="106" ht="14.25" customHeight="1">
      <c r="G106" s="55"/>
    </row>
    <row r="107" ht="14.25" customHeight="1">
      <c r="G107" s="55"/>
    </row>
    <row r="108" ht="14.25" customHeight="1">
      <c r="G108" s="55"/>
    </row>
    <row r="109" ht="14.25" customHeight="1">
      <c r="G109" s="55"/>
    </row>
    <row r="110" ht="14.25" customHeight="1">
      <c r="G110" s="55"/>
    </row>
    <row r="111" ht="14.25" customHeight="1">
      <c r="G111" s="55"/>
    </row>
    <row r="112" ht="14.25" customHeight="1">
      <c r="G112" s="55"/>
    </row>
    <row r="113" ht="14.25" customHeight="1">
      <c r="G113" s="55"/>
    </row>
    <row r="114" ht="14.25" customHeight="1">
      <c r="G114" s="55"/>
    </row>
    <row r="115" ht="14.25" customHeight="1">
      <c r="G115" s="55"/>
    </row>
    <row r="116" ht="14.25" customHeight="1">
      <c r="G116" s="55"/>
    </row>
    <row r="117" ht="14.25" customHeight="1">
      <c r="G117" s="55"/>
    </row>
    <row r="118" ht="14.25" customHeight="1">
      <c r="G118" s="55"/>
    </row>
    <row r="119" ht="14.25" customHeight="1">
      <c r="G119" s="55"/>
    </row>
    <row r="120" ht="14.25" customHeight="1">
      <c r="G120" s="55"/>
    </row>
    <row r="121" ht="14.25" customHeight="1">
      <c r="G121" s="55"/>
    </row>
    <row r="122" ht="14.25" customHeight="1">
      <c r="G122" s="55"/>
    </row>
    <row r="123" ht="14.25" customHeight="1">
      <c r="G123" s="55"/>
    </row>
    <row r="124" ht="14.25" customHeight="1">
      <c r="G124" s="55"/>
    </row>
    <row r="125" ht="14.25" customHeight="1">
      <c r="G125" s="55"/>
    </row>
    <row r="126" ht="14.25" customHeight="1">
      <c r="G126" s="55"/>
    </row>
    <row r="127" ht="14.25" customHeight="1">
      <c r="G127" s="55"/>
    </row>
    <row r="128" ht="14.25" customHeight="1">
      <c r="G128" s="55"/>
    </row>
    <row r="129" ht="14.25" customHeight="1">
      <c r="G129" s="55"/>
    </row>
    <row r="130" ht="14.25" customHeight="1">
      <c r="G130" s="55"/>
    </row>
    <row r="131" ht="14.25" customHeight="1">
      <c r="G131" s="55"/>
    </row>
    <row r="132" ht="14.25" customHeight="1">
      <c r="G132" s="55"/>
    </row>
    <row r="133" ht="14.25" customHeight="1">
      <c r="G133" s="55"/>
    </row>
    <row r="134" ht="14.25" customHeight="1">
      <c r="G134" s="55"/>
    </row>
    <row r="135" ht="14.25" customHeight="1">
      <c r="G135" s="55"/>
    </row>
    <row r="136" ht="14.25" customHeight="1">
      <c r="G136" s="55"/>
    </row>
    <row r="137" ht="14.25" customHeight="1">
      <c r="G137" s="55"/>
    </row>
    <row r="138" ht="14.25" customHeight="1">
      <c r="G138" s="55"/>
    </row>
    <row r="139" ht="14.25" customHeight="1">
      <c r="G139" s="55"/>
    </row>
    <row r="140" ht="14.25" customHeight="1">
      <c r="G140" s="55"/>
    </row>
    <row r="141" ht="14.25" customHeight="1">
      <c r="G141" s="55"/>
    </row>
    <row r="142" ht="14.25" customHeight="1">
      <c r="G142" s="55"/>
    </row>
    <row r="143" ht="14.25" customHeight="1">
      <c r="G143" s="55"/>
    </row>
    <row r="144" ht="14.25" customHeight="1">
      <c r="G144" s="55"/>
    </row>
    <row r="145" ht="14.25" customHeight="1">
      <c r="G145" s="55"/>
    </row>
    <row r="146" ht="14.25" customHeight="1">
      <c r="G146" s="55"/>
    </row>
    <row r="147" ht="14.25" customHeight="1">
      <c r="G147" s="55"/>
    </row>
    <row r="148" ht="14.25" customHeight="1">
      <c r="G148" s="55"/>
    </row>
    <row r="149" ht="14.25" customHeight="1">
      <c r="G149" s="55"/>
    </row>
    <row r="150" ht="14.25" customHeight="1">
      <c r="G150" s="55"/>
    </row>
    <row r="151" ht="14.25" customHeight="1">
      <c r="G151" s="55"/>
    </row>
    <row r="152" ht="14.25" customHeight="1">
      <c r="G152" s="55"/>
    </row>
    <row r="153" ht="14.25" customHeight="1">
      <c r="G153" s="55"/>
    </row>
    <row r="154" ht="14.25" customHeight="1">
      <c r="G154" s="55"/>
    </row>
    <row r="155" ht="14.25" customHeight="1">
      <c r="G155" s="55"/>
    </row>
    <row r="156" ht="14.25" customHeight="1">
      <c r="G156" s="55"/>
    </row>
    <row r="157" ht="14.25" customHeight="1">
      <c r="G157" s="55"/>
    </row>
    <row r="158" ht="14.25" customHeight="1">
      <c r="G158" s="55"/>
    </row>
    <row r="159" ht="14.25" customHeight="1">
      <c r="G159" s="55"/>
    </row>
    <row r="160" ht="14.25" customHeight="1">
      <c r="G160" s="55"/>
    </row>
    <row r="161" ht="14.25" customHeight="1">
      <c r="G161" s="55"/>
    </row>
    <row r="162" ht="14.25" customHeight="1">
      <c r="G162" s="55"/>
    </row>
    <row r="163" ht="14.25" customHeight="1">
      <c r="G163" s="55"/>
    </row>
    <row r="164" ht="14.25" customHeight="1">
      <c r="G164" s="55"/>
    </row>
    <row r="165" ht="14.25" customHeight="1">
      <c r="G165" s="55"/>
    </row>
    <row r="166" ht="14.25" customHeight="1">
      <c r="G166" s="55"/>
    </row>
    <row r="167" ht="14.25" customHeight="1">
      <c r="G167" s="55"/>
    </row>
    <row r="168" ht="14.25" customHeight="1">
      <c r="G168" s="55"/>
    </row>
    <row r="169" ht="14.25" customHeight="1">
      <c r="G169" s="55"/>
    </row>
    <row r="170" ht="14.25" customHeight="1">
      <c r="G170" s="55"/>
    </row>
    <row r="171" ht="14.25" customHeight="1">
      <c r="G171" s="55"/>
    </row>
    <row r="172" ht="14.25" customHeight="1">
      <c r="G172" s="55"/>
    </row>
    <row r="173" ht="14.25" customHeight="1">
      <c r="G173" s="55"/>
    </row>
    <row r="174" ht="14.25" customHeight="1">
      <c r="G174" s="55"/>
    </row>
    <row r="175" ht="14.25" customHeight="1">
      <c r="G175" s="55"/>
    </row>
    <row r="176" ht="14.25" customHeight="1">
      <c r="G176" s="55"/>
    </row>
    <row r="177" ht="14.25" customHeight="1">
      <c r="G177" s="55"/>
    </row>
    <row r="178" ht="14.25" customHeight="1">
      <c r="G178" s="55"/>
    </row>
    <row r="179" ht="14.25" customHeight="1">
      <c r="G179" s="55"/>
    </row>
    <row r="180" ht="14.25" customHeight="1">
      <c r="G180" s="55"/>
    </row>
    <row r="181" ht="14.25" customHeight="1">
      <c r="G181" s="55"/>
    </row>
    <row r="182" ht="14.25" customHeight="1">
      <c r="G182" s="55"/>
    </row>
    <row r="183" ht="14.25" customHeight="1">
      <c r="G183" s="55"/>
    </row>
    <row r="184" ht="14.25" customHeight="1">
      <c r="G184" s="55"/>
    </row>
    <row r="185" ht="14.25" customHeight="1">
      <c r="G185" s="55"/>
    </row>
    <row r="186" ht="14.25" customHeight="1">
      <c r="G186" s="55"/>
    </row>
    <row r="187" ht="14.25" customHeight="1">
      <c r="G187" s="55"/>
    </row>
    <row r="188" ht="14.25" customHeight="1">
      <c r="G188" s="55"/>
    </row>
    <row r="189" ht="14.25" customHeight="1">
      <c r="G189" s="55"/>
    </row>
    <row r="190" ht="14.25" customHeight="1">
      <c r="G190" s="55"/>
    </row>
    <row r="191" ht="14.25" customHeight="1">
      <c r="G191" s="55"/>
    </row>
    <row r="192" ht="14.25" customHeight="1">
      <c r="G192" s="55"/>
    </row>
    <row r="193" ht="14.25" customHeight="1">
      <c r="G193" s="55"/>
    </row>
    <row r="194" ht="14.25" customHeight="1">
      <c r="G194" s="55"/>
    </row>
    <row r="195" ht="14.25" customHeight="1">
      <c r="G195" s="55"/>
    </row>
    <row r="196" ht="14.25" customHeight="1">
      <c r="G196" s="55"/>
    </row>
    <row r="197" ht="14.25" customHeight="1">
      <c r="G197" s="55"/>
    </row>
    <row r="198" ht="14.25" customHeight="1">
      <c r="G198" s="55"/>
    </row>
    <row r="199" ht="14.25" customHeight="1">
      <c r="G199" s="55"/>
    </row>
    <row r="200" ht="14.25" customHeight="1">
      <c r="G200" s="55"/>
    </row>
    <row r="201" ht="14.25" customHeight="1">
      <c r="G201" s="55"/>
    </row>
    <row r="202" ht="14.25" customHeight="1">
      <c r="G202" s="55"/>
    </row>
    <row r="203" ht="14.25" customHeight="1">
      <c r="G203" s="55"/>
    </row>
    <row r="204" ht="14.25" customHeight="1">
      <c r="G204" s="55"/>
    </row>
    <row r="205" ht="14.25" customHeight="1">
      <c r="G205" s="55"/>
    </row>
    <row r="206" ht="14.25" customHeight="1">
      <c r="G206" s="55"/>
    </row>
    <row r="207" ht="14.25" customHeight="1">
      <c r="G207" s="55"/>
    </row>
    <row r="208" ht="14.25" customHeight="1">
      <c r="G208" s="55"/>
    </row>
    <row r="209" ht="14.25" customHeight="1">
      <c r="G209" s="55"/>
    </row>
    <row r="210" ht="14.25" customHeight="1">
      <c r="G210" s="55"/>
    </row>
    <row r="211" ht="14.25" customHeight="1">
      <c r="G211" s="55"/>
    </row>
    <row r="212" ht="14.25" customHeight="1">
      <c r="G212" s="55"/>
    </row>
    <row r="213" ht="14.25" customHeight="1">
      <c r="G213" s="55"/>
    </row>
    <row r="214" ht="14.25" customHeight="1">
      <c r="G214" s="55"/>
    </row>
    <row r="215" ht="14.25" customHeight="1">
      <c r="G215" s="55"/>
    </row>
    <row r="216" ht="14.25" customHeight="1">
      <c r="G216" s="55"/>
    </row>
    <row r="217" ht="14.25" customHeight="1">
      <c r="G217" s="55"/>
    </row>
    <row r="218" ht="14.25" customHeight="1">
      <c r="G218" s="55"/>
    </row>
    <row r="219" ht="14.25" customHeight="1">
      <c r="G219" s="55"/>
    </row>
    <row r="220" ht="14.25" customHeight="1">
      <c r="G220" s="55"/>
    </row>
    <row r="221" ht="14.25" customHeight="1">
      <c r="G221" s="55"/>
    </row>
    <row r="222" ht="14.25" customHeight="1">
      <c r="G222" s="55"/>
    </row>
    <row r="223" ht="14.25" customHeight="1">
      <c r="G223" s="55"/>
    </row>
    <row r="224" ht="14.25" customHeight="1">
      <c r="G224" s="55"/>
    </row>
    <row r="225" ht="14.25" customHeight="1">
      <c r="G225" s="55"/>
    </row>
    <row r="226" ht="14.25" customHeight="1">
      <c r="G226" s="55"/>
    </row>
    <row r="227" ht="14.25" customHeight="1">
      <c r="G227" s="55"/>
    </row>
    <row r="228" ht="14.25" customHeight="1">
      <c r="G228" s="55"/>
    </row>
    <row r="229" ht="14.25" customHeight="1">
      <c r="G229" s="55"/>
    </row>
    <row r="230" ht="14.25" customHeight="1">
      <c r="G230" s="55"/>
    </row>
    <row r="231" ht="14.25" customHeight="1">
      <c r="G231" s="55"/>
    </row>
    <row r="232" ht="14.25" customHeight="1">
      <c r="G232" s="55"/>
    </row>
    <row r="233" ht="14.25" customHeight="1">
      <c r="G233" s="55"/>
    </row>
    <row r="234" ht="14.25" customHeight="1">
      <c r="G234" s="55"/>
    </row>
    <row r="235" ht="14.25" customHeight="1">
      <c r="G235" s="55"/>
    </row>
    <row r="236" ht="14.25" customHeight="1">
      <c r="G236" s="55"/>
    </row>
    <row r="237" ht="14.25" customHeight="1">
      <c r="G237" s="55"/>
    </row>
    <row r="238" ht="14.25" customHeight="1">
      <c r="G238" s="55"/>
    </row>
    <row r="239" ht="14.25" customHeight="1">
      <c r="G239" s="55"/>
    </row>
    <row r="240" ht="14.25" customHeight="1">
      <c r="G240" s="55"/>
    </row>
    <row r="241" ht="14.25" customHeight="1">
      <c r="G241" s="55"/>
    </row>
    <row r="242" ht="14.25" customHeight="1">
      <c r="G242" s="55"/>
    </row>
    <row r="243" ht="14.25" customHeight="1">
      <c r="G243" s="55"/>
    </row>
    <row r="244" ht="14.25" customHeight="1">
      <c r="G244" s="55"/>
    </row>
    <row r="245" ht="14.25" customHeight="1">
      <c r="G245" s="55"/>
    </row>
    <row r="246" ht="14.25" customHeight="1">
      <c r="G246" s="55"/>
    </row>
    <row r="247" ht="14.25" customHeight="1">
      <c r="G247" s="55"/>
    </row>
    <row r="248" ht="14.25" customHeight="1">
      <c r="G248" s="55"/>
    </row>
    <row r="249" ht="14.25" customHeight="1">
      <c r="G249" s="55"/>
    </row>
    <row r="250" ht="14.25" customHeight="1">
      <c r="G250" s="55"/>
    </row>
    <row r="251" ht="14.25" customHeight="1">
      <c r="G251" s="55"/>
    </row>
    <row r="252" ht="14.25" customHeight="1">
      <c r="G252" s="55"/>
    </row>
    <row r="253" ht="14.25" customHeight="1">
      <c r="G253" s="55"/>
    </row>
    <row r="254" ht="14.25" customHeight="1">
      <c r="G254" s="55"/>
    </row>
    <row r="255" ht="14.25" customHeight="1">
      <c r="G255" s="55"/>
    </row>
    <row r="256" ht="14.25" customHeight="1">
      <c r="G256" s="55"/>
    </row>
    <row r="257" ht="14.25" customHeight="1">
      <c r="G257" s="55"/>
    </row>
    <row r="258" ht="14.25" customHeight="1">
      <c r="G258" s="55"/>
    </row>
    <row r="259" ht="14.25" customHeight="1">
      <c r="G259" s="55"/>
    </row>
    <row r="260" ht="14.25" customHeight="1">
      <c r="G260" s="55"/>
    </row>
    <row r="261" ht="14.25" customHeight="1">
      <c r="G261" s="55"/>
    </row>
    <row r="262" ht="14.25" customHeight="1">
      <c r="G262" s="55"/>
    </row>
    <row r="263" ht="14.25" customHeight="1">
      <c r="G263" s="55"/>
    </row>
    <row r="264" ht="14.25" customHeight="1">
      <c r="G264" s="55"/>
    </row>
    <row r="265" ht="14.25" customHeight="1">
      <c r="G265" s="55"/>
    </row>
    <row r="266" ht="14.25" customHeight="1">
      <c r="G266" s="55"/>
    </row>
    <row r="267" ht="14.25" customHeight="1">
      <c r="G267" s="55"/>
    </row>
    <row r="268" ht="14.25" customHeight="1">
      <c r="G268" s="55"/>
    </row>
    <row r="269" ht="14.25" customHeight="1">
      <c r="G269" s="55"/>
    </row>
    <row r="270" ht="14.25" customHeight="1">
      <c r="G270" s="55"/>
    </row>
    <row r="271" ht="14.25" customHeight="1">
      <c r="G271" s="55"/>
    </row>
    <row r="272" ht="14.25" customHeight="1">
      <c r="G272" s="55"/>
    </row>
    <row r="273" ht="14.25" customHeight="1">
      <c r="G273" s="55"/>
    </row>
    <row r="274" ht="14.25" customHeight="1">
      <c r="G274" s="55"/>
    </row>
    <row r="275" ht="14.25" customHeight="1">
      <c r="G275" s="55"/>
    </row>
    <row r="276" ht="14.25" customHeight="1">
      <c r="G276" s="55"/>
    </row>
    <row r="277" ht="14.25" customHeight="1">
      <c r="G277" s="55"/>
    </row>
    <row r="278" ht="14.25" customHeight="1">
      <c r="G278" s="55"/>
    </row>
    <row r="279" ht="14.25" customHeight="1">
      <c r="G279" s="55"/>
    </row>
    <row r="280" ht="14.25" customHeight="1">
      <c r="G280" s="55"/>
    </row>
    <row r="281" ht="14.25" customHeight="1">
      <c r="G281" s="55"/>
    </row>
    <row r="282" ht="14.25" customHeight="1">
      <c r="G282" s="55"/>
    </row>
    <row r="283" ht="14.25" customHeight="1">
      <c r="G283" s="55"/>
    </row>
    <row r="284" ht="14.25" customHeight="1">
      <c r="G284" s="55"/>
    </row>
    <row r="285" ht="14.25" customHeight="1">
      <c r="G285" s="55"/>
    </row>
    <row r="286" ht="14.25" customHeight="1">
      <c r="G286" s="55"/>
    </row>
    <row r="287" ht="14.25" customHeight="1">
      <c r="G287" s="55"/>
    </row>
    <row r="288" ht="14.25" customHeight="1">
      <c r="G288" s="55"/>
    </row>
    <row r="289" ht="14.25" customHeight="1">
      <c r="G289" s="55"/>
    </row>
    <row r="290" ht="14.25" customHeight="1">
      <c r="G290" s="55"/>
    </row>
    <row r="291" ht="14.25" customHeight="1">
      <c r="G291" s="55"/>
    </row>
    <row r="292" ht="14.25" customHeight="1">
      <c r="G292" s="55"/>
    </row>
    <row r="293" ht="14.25" customHeight="1">
      <c r="G293" s="55"/>
    </row>
    <row r="294" ht="14.25" customHeight="1">
      <c r="G294" s="55"/>
    </row>
    <row r="295" ht="14.25" customHeight="1">
      <c r="G295" s="55"/>
    </row>
    <row r="296" ht="14.25" customHeight="1">
      <c r="G296" s="55"/>
    </row>
    <row r="297" ht="14.25" customHeight="1">
      <c r="G297" s="55"/>
    </row>
    <row r="298" ht="14.25" customHeight="1">
      <c r="G298" s="55"/>
    </row>
    <row r="299" ht="14.25" customHeight="1">
      <c r="G299" s="55"/>
    </row>
    <row r="300" ht="14.25" customHeight="1">
      <c r="G300" s="55"/>
    </row>
    <row r="301" ht="14.25" customHeight="1">
      <c r="G301" s="55"/>
    </row>
    <row r="302" ht="14.25" customHeight="1">
      <c r="G302" s="55"/>
    </row>
    <row r="303" ht="14.25" customHeight="1">
      <c r="G303" s="55"/>
    </row>
    <row r="304" ht="14.25" customHeight="1">
      <c r="G304" s="55"/>
    </row>
    <row r="305" ht="14.25" customHeight="1">
      <c r="G305" s="55"/>
    </row>
    <row r="306" ht="14.25" customHeight="1">
      <c r="G306" s="55"/>
    </row>
    <row r="307" ht="14.25" customHeight="1">
      <c r="G307" s="55"/>
    </row>
    <row r="308" ht="14.25" customHeight="1">
      <c r="G308" s="55"/>
    </row>
    <row r="309" ht="14.25" customHeight="1">
      <c r="G309" s="55"/>
    </row>
    <row r="310" ht="14.25" customHeight="1">
      <c r="G310" s="55"/>
    </row>
    <row r="311" ht="14.25" customHeight="1">
      <c r="G311" s="55"/>
    </row>
    <row r="312" ht="14.25" customHeight="1">
      <c r="G312" s="55"/>
    </row>
    <row r="313" ht="14.25" customHeight="1">
      <c r="G313" s="55"/>
    </row>
    <row r="314" ht="14.25" customHeight="1">
      <c r="G314" s="55"/>
    </row>
    <row r="315" ht="14.25" customHeight="1">
      <c r="G315" s="55"/>
    </row>
    <row r="316" ht="14.25" customHeight="1">
      <c r="G316" s="55"/>
    </row>
    <row r="317" ht="14.25" customHeight="1">
      <c r="G317" s="55"/>
    </row>
    <row r="318" ht="14.25" customHeight="1">
      <c r="G318" s="55"/>
    </row>
    <row r="319" ht="14.25" customHeight="1">
      <c r="G319" s="55"/>
    </row>
    <row r="320" ht="14.25" customHeight="1">
      <c r="G320" s="55"/>
    </row>
    <row r="321" ht="14.25" customHeight="1">
      <c r="G321" s="55"/>
    </row>
    <row r="322" ht="14.25" customHeight="1">
      <c r="G322" s="55"/>
    </row>
    <row r="323" ht="14.25" customHeight="1">
      <c r="G323" s="55"/>
    </row>
    <row r="324" ht="14.25" customHeight="1">
      <c r="G324" s="55"/>
    </row>
    <row r="325" ht="14.25" customHeight="1">
      <c r="G325" s="55"/>
    </row>
    <row r="326" ht="14.25" customHeight="1">
      <c r="G326" s="55"/>
    </row>
    <row r="327" ht="14.25" customHeight="1">
      <c r="G327" s="55"/>
    </row>
    <row r="328" ht="14.25" customHeight="1">
      <c r="G328" s="55"/>
    </row>
    <row r="329" ht="14.25" customHeight="1">
      <c r="G329" s="55"/>
    </row>
    <row r="330" ht="14.25" customHeight="1">
      <c r="G330" s="55"/>
    </row>
    <row r="331" ht="14.25" customHeight="1">
      <c r="G331" s="55"/>
    </row>
    <row r="332" ht="14.25" customHeight="1">
      <c r="G332" s="55"/>
    </row>
    <row r="333" ht="14.25" customHeight="1">
      <c r="G333" s="55"/>
    </row>
    <row r="334" ht="14.25" customHeight="1">
      <c r="G334" s="55"/>
    </row>
    <row r="335" ht="14.25" customHeight="1">
      <c r="G335" s="55"/>
    </row>
    <row r="336" ht="14.25" customHeight="1">
      <c r="G336" s="55"/>
    </row>
    <row r="337" ht="14.25" customHeight="1">
      <c r="G337" s="55"/>
    </row>
    <row r="338" ht="14.25" customHeight="1">
      <c r="G338" s="55"/>
    </row>
    <row r="339" ht="14.25" customHeight="1">
      <c r="G339" s="55"/>
    </row>
    <row r="340" ht="14.25" customHeight="1">
      <c r="G340" s="55"/>
    </row>
    <row r="341" ht="14.25" customHeight="1">
      <c r="G341" s="55"/>
    </row>
    <row r="342" ht="14.25" customHeight="1">
      <c r="G342" s="55"/>
    </row>
    <row r="343" ht="14.25" customHeight="1">
      <c r="G343" s="55"/>
    </row>
    <row r="344" ht="14.25" customHeight="1">
      <c r="G344" s="55"/>
    </row>
    <row r="345" ht="14.25" customHeight="1">
      <c r="G345" s="55"/>
    </row>
    <row r="346" ht="14.25" customHeight="1">
      <c r="G346" s="55"/>
    </row>
    <row r="347" ht="14.25" customHeight="1">
      <c r="G347" s="55"/>
    </row>
    <row r="348" ht="14.25" customHeight="1">
      <c r="G348" s="55"/>
    </row>
    <row r="349" ht="14.25" customHeight="1">
      <c r="G349" s="55"/>
    </row>
    <row r="350" ht="14.25" customHeight="1">
      <c r="G350" s="55"/>
    </row>
    <row r="351" ht="14.25" customHeight="1">
      <c r="G351" s="55"/>
    </row>
    <row r="352" ht="14.25" customHeight="1">
      <c r="G352" s="55"/>
    </row>
    <row r="353" ht="14.25" customHeight="1">
      <c r="G353" s="55"/>
    </row>
    <row r="354" ht="14.25" customHeight="1">
      <c r="G354" s="55"/>
    </row>
    <row r="355" ht="14.25" customHeight="1">
      <c r="G355" s="55"/>
    </row>
    <row r="356" ht="14.25" customHeight="1">
      <c r="G356" s="55"/>
    </row>
    <row r="357" ht="14.25" customHeight="1">
      <c r="G357" s="55"/>
    </row>
    <row r="358" ht="14.25" customHeight="1">
      <c r="G358" s="55"/>
    </row>
    <row r="359" ht="14.25" customHeight="1">
      <c r="G359" s="55"/>
    </row>
    <row r="360" ht="14.25" customHeight="1">
      <c r="G360" s="55"/>
    </row>
    <row r="361" ht="14.25" customHeight="1">
      <c r="G361" s="55"/>
    </row>
    <row r="362" ht="14.25" customHeight="1">
      <c r="G362" s="55"/>
    </row>
    <row r="363" ht="14.25" customHeight="1">
      <c r="G363" s="55"/>
    </row>
    <row r="364" ht="14.25" customHeight="1">
      <c r="G364" s="55"/>
    </row>
    <row r="365" ht="14.25" customHeight="1">
      <c r="G365" s="55"/>
    </row>
    <row r="366" ht="14.25" customHeight="1">
      <c r="G366" s="55"/>
    </row>
    <row r="367" ht="14.25" customHeight="1">
      <c r="G367" s="55"/>
    </row>
    <row r="368" ht="14.25" customHeight="1">
      <c r="G368" s="55"/>
    </row>
    <row r="369" ht="14.25" customHeight="1">
      <c r="G369" s="55"/>
    </row>
    <row r="370" ht="14.25" customHeight="1">
      <c r="G370" s="55"/>
    </row>
    <row r="371" ht="14.25" customHeight="1">
      <c r="G371" s="55"/>
    </row>
    <row r="372" ht="14.25" customHeight="1">
      <c r="G372" s="55"/>
    </row>
    <row r="373" ht="14.25" customHeight="1">
      <c r="G373" s="55"/>
    </row>
    <row r="374" ht="14.25" customHeight="1">
      <c r="G374" s="55"/>
    </row>
    <row r="375" ht="14.25" customHeight="1">
      <c r="G375" s="55"/>
    </row>
    <row r="376" ht="14.25" customHeight="1">
      <c r="G376" s="55"/>
    </row>
    <row r="377" ht="14.25" customHeight="1">
      <c r="G377" s="55"/>
    </row>
    <row r="378" ht="14.25" customHeight="1">
      <c r="G378" s="55"/>
    </row>
    <row r="379" ht="14.25" customHeight="1">
      <c r="G379" s="55"/>
    </row>
    <row r="380" ht="14.25" customHeight="1">
      <c r="G380" s="55"/>
    </row>
    <row r="381" ht="14.25" customHeight="1">
      <c r="G381" s="55"/>
    </row>
    <row r="382" ht="14.25" customHeight="1">
      <c r="G382" s="55"/>
    </row>
    <row r="383" ht="14.25" customHeight="1">
      <c r="G383" s="55"/>
    </row>
    <row r="384" ht="14.25" customHeight="1">
      <c r="G384" s="55"/>
    </row>
    <row r="385" ht="14.25" customHeight="1">
      <c r="G385" s="55"/>
    </row>
    <row r="386" ht="14.25" customHeight="1">
      <c r="G386" s="55"/>
    </row>
    <row r="387" ht="14.25" customHeight="1">
      <c r="G387" s="55"/>
    </row>
    <row r="388" ht="14.25" customHeight="1">
      <c r="G388" s="55"/>
    </row>
    <row r="389" ht="14.25" customHeight="1">
      <c r="G389" s="55"/>
    </row>
    <row r="390" ht="14.25" customHeight="1">
      <c r="G390" s="55"/>
    </row>
    <row r="391" ht="14.25" customHeight="1">
      <c r="G391" s="55"/>
    </row>
    <row r="392" ht="14.25" customHeight="1">
      <c r="G392" s="55"/>
    </row>
    <row r="393" ht="14.25" customHeight="1">
      <c r="G393" s="55"/>
    </row>
    <row r="394" ht="14.25" customHeight="1">
      <c r="G394" s="55"/>
    </row>
    <row r="395" ht="14.25" customHeight="1">
      <c r="G395" s="55"/>
    </row>
    <row r="396" ht="14.25" customHeight="1">
      <c r="G396" s="55"/>
    </row>
    <row r="397" ht="14.25" customHeight="1">
      <c r="G397" s="55"/>
    </row>
    <row r="398" ht="14.25" customHeight="1">
      <c r="G398" s="55"/>
    </row>
    <row r="399" ht="14.25" customHeight="1">
      <c r="G399" s="55"/>
    </row>
    <row r="400" ht="14.25" customHeight="1">
      <c r="G400" s="55"/>
    </row>
    <row r="401" ht="14.25" customHeight="1">
      <c r="G401" s="55"/>
    </row>
    <row r="402" ht="14.25" customHeight="1">
      <c r="G402" s="55"/>
    </row>
    <row r="403" ht="14.25" customHeight="1">
      <c r="G403" s="55"/>
    </row>
    <row r="404" ht="14.25" customHeight="1">
      <c r="G404" s="55"/>
    </row>
    <row r="405" ht="14.25" customHeight="1">
      <c r="G405" s="55"/>
    </row>
    <row r="406" ht="14.25" customHeight="1">
      <c r="G406" s="55"/>
    </row>
    <row r="407" ht="14.25" customHeight="1">
      <c r="G407" s="55"/>
    </row>
    <row r="408" ht="14.25" customHeight="1">
      <c r="G408" s="55"/>
    </row>
    <row r="409" ht="14.25" customHeight="1">
      <c r="G409" s="55"/>
    </row>
    <row r="410" ht="14.25" customHeight="1">
      <c r="G410" s="55"/>
    </row>
    <row r="411" ht="14.25" customHeight="1">
      <c r="G411" s="55"/>
    </row>
    <row r="412" ht="14.25" customHeight="1">
      <c r="G412" s="55"/>
    </row>
    <row r="413" ht="14.25" customHeight="1">
      <c r="G413" s="55"/>
    </row>
    <row r="414" ht="14.25" customHeight="1">
      <c r="G414" s="55"/>
    </row>
    <row r="415" ht="14.25" customHeight="1">
      <c r="G415" s="55"/>
    </row>
    <row r="416" ht="14.25" customHeight="1">
      <c r="G416" s="55"/>
    </row>
    <row r="417" ht="14.25" customHeight="1">
      <c r="G417" s="55"/>
    </row>
    <row r="418" ht="14.25" customHeight="1">
      <c r="G418" s="55"/>
    </row>
    <row r="419" ht="14.25" customHeight="1">
      <c r="G419" s="55"/>
    </row>
    <row r="420" ht="14.25" customHeight="1">
      <c r="G420" s="55"/>
    </row>
    <row r="421" ht="14.25" customHeight="1">
      <c r="G421" s="55"/>
    </row>
    <row r="422" ht="14.25" customHeight="1">
      <c r="G422" s="55"/>
    </row>
    <row r="423" ht="14.25" customHeight="1">
      <c r="G423" s="55"/>
    </row>
    <row r="424" ht="14.25" customHeight="1">
      <c r="G424" s="55"/>
    </row>
    <row r="425" ht="14.25" customHeight="1">
      <c r="G425" s="55"/>
    </row>
    <row r="426" ht="14.25" customHeight="1">
      <c r="G426" s="55"/>
    </row>
    <row r="427" ht="14.25" customHeight="1">
      <c r="G427" s="55"/>
    </row>
    <row r="428" ht="14.25" customHeight="1">
      <c r="G428" s="55"/>
    </row>
    <row r="429" ht="14.25" customHeight="1">
      <c r="G429" s="55"/>
    </row>
    <row r="430" ht="14.25" customHeight="1">
      <c r="G430" s="55"/>
    </row>
    <row r="431" ht="14.25" customHeight="1">
      <c r="G431" s="55"/>
    </row>
    <row r="432" ht="14.25" customHeight="1">
      <c r="G432" s="55"/>
    </row>
    <row r="433" ht="14.25" customHeight="1">
      <c r="G433" s="55"/>
    </row>
    <row r="434" ht="14.25" customHeight="1">
      <c r="G434" s="55"/>
    </row>
    <row r="435" ht="14.25" customHeight="1">
      <c r="G435" s="55"/>
    </row>
    <row r="436" ht="14.25" customHeight="1">
      <c r="G436" s="55"/>
    </row>
    <row r="437" ht="14.25" customHeight="1">
      <c r="G437" s="55"/>
    </row>
    <row r="438" ht="14.25" customHeight="1">
      <c r="G438" s="55"/>
    </row>
    <row r="439" ht="14.25" customHeight="1">
      <c r="G439" s="55"/>
    </row>
    <row r="440" ht="14.25" customHeight="1">
      <c r="G440" s="55"/>
    </row>
    <row r="441" ht="14.25" customHeight="1">
      <c r="G441" s="55"/>
    </row>
    <row r="442" ht="14.25" customHeight="1">
      <c r="G442" s="55"/>
    </row>
    <row r="443" ht="14.25" customHeight="1">
      <c r="G443" s="55"/>
    </row>
    <row r="444" ht="14.25" customHeight="1">
      <c r="G444" s="55"/>
    </row>
    <row r="445" ht="14.25" customHeight="1">
      <c r="G445" s="55"/>
    </row>
    <row r="446" ht="14.25" customHeight="1">
      <c r="G446" s="55"/>
    </row>
    <row r="447" ht="14.25" customHeight="1">
      <c r="G447" s="55"/>
    </row>
    <row r="448" ht="14.25" customHeight="1">
      <c r="G448" s="55"/>
    </row>
    <row r="449" ht="14.25" customHeight="1">
      <c r="G449" s="55"/>
    </row>
    <row r="450" ht="14.25" customHeight="1">
      <c r="G450" s="55"/>
    </row>
    <row r="451" ht="14.25" customHeight="1">
      <c r="G451" s="55"/>
    </row>
    <row r="452" ht="14.25" customHeight="1">
      <c r="G452" s="55"/>
    </row>
    <row r="453" ht="14.25" customHeight="1">
      <c r="G453" s="55"/>
    </row>
    <row r="454" ht="14.25" customHeight="1">
      <c r="G454" s="55"/>
    </row>
    <row r="455" ht="14.25" customHeight="1">
      <c r="G455" s="55"/>
    </row>
    <row r="456" ht="14.25" customHeight="1">
      <c r="G456" s="55"/>
    </row>
    <row r="457" ht="14.25" customHeight="1">
      <c r="G457" s="55"/>
    </row>
    <row r="458" ht="14.25" customHeight="1">
      <c r="G458" s="55"/>
    </row>
    <row r="459" ht="14.25" customHeight="1">
      <c r="G459" s="55"/>
    </row>
    <row r="460" ht="14.25" customHeight="1">
      <c r="G460" s="55"/>
    </row>
    <row r="461" ht="14.25" customHeight="1">
      <c r="G461" s="55"/>
    </row>
    <row r="462" ht="14.25" customHeight="1">
      <c r="G462" s="55"/>
    </row>
    <row r="463" ht="14.25" customHeight="1">
      <c r="G463" s="55"/>
    </row>
    <row r="464" ht="14.25" customHeight="1">
      <c r="G464" s="55"/>
    </row>
    <row r="465" ht="14.25" customHeight="1">
      <c r="G465" s="55"/>
    </row>
    <row r="466" ht="14.25" customHeight="1">
      <c r="G466" s="55"/>
    </row>
    <row r="467" ht="14.25" customHeight="1">
      <c r="G467" s="55"/>
    </row>
    <row r="468" ht="14.25" customHeight="1">
      <c r="G468" s="55"/>
    </row>
    <row r="469" ht="14.25" customHeight="1">
      <c r="G469" s="55"/>
    </row>
    <row r="470" ht="14.25" customHeight="1">
      <c r="G470" s="55"/>
    </row>
    <row r="471" ht="14.25" customHeight="1">
      <c r="G471" s="55"/>
    </row>
    <row r="472" ht="14.25" customHeight="1">
      <c r="G472" s="55"/>
    </row>
    <row r="473" ht="14.25" customHeight="1">
      <c r="G473" s="55"/>
    </row>
    <row r="474" ht="14.25" customHeight="1">
      <c r="G474" s="55"/>
    </row>
    <row r="475" ht="14.25" customHeight="1">
      <c r="G475" s="55"/>
    </row>
    <row r="476" ht="14.25" customHeight="1">
      <c r="G476" s="55"/>
    </row>
    <row r="477" ht="14.25" customHeight="1">
      <c r="G477" s="55"/>
    </row>
    <row r="478" ht="14.25" customHeight="1">
      <c r="G478" s="55"/>
    </row>
    <row r="479" ht="14.25" customHeight="1">
      <c r="G479" s="55"/>
    </row>
    <row r="480" ht="14.25" customHeight="1">
      <c r="G480" s="55"/>
    </row>
    <row r="481" ht="14.25" customHeight="1">
      <c r="G481" s="55"/>
    </row>
    <row r="482" ht="14.25" customHeight="1">
      <c r="G482" s="55"/>
    </row>
    <row r="483" ht="14.25" customHeight="1">
      <c r="G483" s="55"/>
    </row>
    <row r="484" ht="14.25" customHeight="1">
      <c r="G484" s="55"/>
    </row>
    <row r="485" ht="14.25" customHeight="1">
      <c r="G485" s="55"/>
    </row>
    <row r="486" ht="14.25" customHeight="1">
      <c r="G486" s="55"/>
    </row>
    <row r="487" ht="14.25" customHeight="1">
      <c r="G487" s="55"/>
    </row>
    <row r="488" ht="14.25" customHeight="1">
      <c r="G488" s="55"/>
    </row>
    <row r="489" ht="14.25" customHeight="1">
      <c r="G489" s="55"/>
    </row>
    <row r="490" ht="14.25" customHeight="1">
      <c r="G490" s="55"/>
    </row>
    <row r="491" ht="14.25" customHeight="1">
      <c r="G491" s="55"/>
    </row>
    <row r="492" ht="14.25" customHeight="1">
      <c r="G492" s="55"/>
    </row>
    <row r="493" ht="14.25" customHeight="1">
      <c r="G493" s="55"/>
    </row>
    <row r="494" ht="14.25" customHeight="1">
      <c r="G494" s="55"/>
    </row>
    <row r="495" ht="14.25" customHeight="1">
      <c r="G495" s="55"/>
    </row>
    <row r="496" ht="14.25" customHeight="1">
      <c r="G496" s="55"/>
    </row>
    <row r="497" ht="14.25" customHeight="1">
      <c r="G497" s="55"/>
    </row>
    <row r="498" ht="14.25" customHeight="1">
      <c r="G498" s="55"/>
    </row>
    <row r="499" ht="14.25" customHeight="1">
      <c r="G499" s="55"/>
    </row>
    <row r="500" ht="14.25" customHeight="1">
      <c r="G500" s="55"/>
    </row>
    <row r="501" ht="14.25" customHeight="1">
      <c r="G501" s="55"/>
    </row>
    <row r="502" ht="14.25" customHeight="1">
      <c r="G502" s="55"/>
    </row>
    <row r="503" ht="14.25" customHeight="1">
      <c r="G503" s="55"/>
    </row>
    <row r="504" ht="14.25" customHeight="1">
      <c r="G504" s="55"/>
    </row>
    <row r="505" ht="14.25" customHeight="1">
      <c r="G505" s="55"/>
    </row>
    <row r="506" ht="14.25" customHeight="1">
      <c r="G506" s="55"/>
    </row>
    <row r="507" ht="14.25" customHeight="1">
      <c r="G507" s="55"/>
    </row>
    <row r="508" ht="14.25" customHeight="1">
      <c r="G508" s="55"/>
    </row>
    <row r="509" ht="14.25" customHeight="1">
      <c r="G509" s="55"/>
    </row>
    <row r="510" ht="14.25" customHeight="1">
      <c r="G510" s="55"/>
    </row>
    <row r="511" ht="14.25" customHeight="1">
      <c r="G511" s="55"/>
    </row>
    <row r="512" ht="14.25" customHeight="1">
      <c r="G512" s="55"/>
    </row>
    <row r="513" ht="14.25" customHeight="1">
      <c r="G513" s="55"/>
    </row>
    <row r="514" ht="14.25" customHeight="1">
      <c r="G514" s="55"/>
    </row>
    <row r="515" ht="14.25" customHeight="1">
      <c r="G515" s="55"/>
    </row>
    <row r="516" ht="14.25" customHeight="1">
      <c r="G516" s="55"/>
    </row>
    <row r="517" ht="14.25" customHeight="1">
      <c r="G517" s="55"/>
    </row>
    <row r="518" ht="14.25" customHeight="1">
      <c r="G518" s="55"/>
    </row>
    <row r="519" ht="14.25" customHeight="1">
      <c r="G519" s="55"/>
    </row>
    <row r="520" ht="14.25" customHeight="1">
      <c r="G520" s="55"/>
    </row>
    <row r="521" ht="14.25" customHeight="1">
      <c r="G521" s="55"/>
    </row>
    <row r="522" ht="14.25" customHeight="1">
      <c r="G522" s="55"/>
    </row>
    <row r="523" ht="14.25" customHeight="1">
      <c r="G523" s="55"/>
    </row>
    <row r="524" ht="14.25" customHeight="1">
      <c r="G524" s="55"/>
    </row>
    <row r="525" ht="14.25" customHeight="1">
      <c r="G525" s="55"/>
    </row>
    <row r="526" ht="14.25" customHeight="1">
      <c r="G526" s="55"/>
    </row>
    <row r="527" ht="14.25" customHeight="1">
      <c r="G527" s="55"/>
    </row>
    <row r="528" ht="14.25" customHeight="1">
      <c r="G528" s="55"/>
    </row>
    <row r="529" ht="14.25" customHeight="1">
      <c r="G529" s="55"/>
    </row>
    <row r="530" ht="14.25" customHeight="1">
      <c r="G530" s="55"/>
    </row>
    <row r="531" ht="14.25" customHeight="1">
      <c r="G531" s="55"/>
    </row>
    <row r="532" ht="14.25" customHeight="1">
      <c r="G532" s="55"/>
    </row>
    <row r="533" ht="14.25" customHeight="1">
      <c r="G533" s="55"/>
    </row>
    <row r="534" ht="14.25" customHeight="1">
      <c r="G534" s="55"/>
    </row>
    <row r="535" ht="14.25" customHeight="1">
      <c r="G535" s="55"/>
    </row>
    <row r="536" ht="14.25" customHeight="1">
      <c r="G536" s="55"/>
    </row>
    <row r="537" ht="14.25" customHeight="1">
      <c r="G537" s="55"/>
    </row>
    <row r="538" ht="14.25" customHeight="1">
      <c r="G538" s="55"/>
    </row>
    <row r="539" ht="14.25" customHeight="1">
      <c r="G539" s="55"/>
    </row>
    <row r="540" ht="14.25" customHeight="1">
      <c r="G540" s="55"/>
    </row>
    <row r="541" ht="14.25" customHeight="1">
      <c r="G541" s="55"/>
    </row>
    <row r="542" ht="14.25" customHeight="1">
      <c r="G542" s="55"/>
    </row>
    <row r="543" ht="14.25" customHeight="1">
      <c r="G543" s="55"/>
    </row>
    <row r="544" ht="14.25" customHeight="1">
      <c r="G544" s="55"/>
    </row>
    <row r="545" ht="14.25" customHeight="1">
      <c r="G545" s="55"/>
    </row>
    <row r="546" ht="14.25" customHeight="1">
      <c r="G546" s="55"/>
    </row>
    <row r="547" ht="14.25" customHeight="1">
      <c r="G547" s="55"/>
    </row>
    <row r="548" ht="14.25" customHeight="1">
      <c r="G548" s="55"/>
    </row>
    <row r="549" ht="14.25" customHeight="1">
      <c r="G549" s="55"/>
    </row>
    <row r="550" ht="14.25" customHeight="1">
      <c r="G550" s="55"/>
    </row>
    <row r="551" ht="14.25" customHeight="1">
      <c r="G551" s="55"/>
    </row>
    <row r="552" ht="14.25" customHeight="1">
      <c r="G552" s="55"/>
    </row>
    <row r="553" ht="14.25" customHeight="1">
      <c r="G553" s="55"/>
    </row>
    <row r="554" ht="14.25" customHeight="1">
      <c r="G554" s="55"/>
    </row>
    <row r="555" ht="14.25" customHeight="1">
      <c r="G555" s="55"/>
    </row>
    <row r="556" ht="14.25" customHeight="1">
      <c r="G556" s="55"/>
    </row>
    <row r="557" ht="14.25" customHeight="1">
      <c r="G557" s="55"/>
    </row>
    <row r="558" ht="14.25" customHeight="1">
      <c r="G558" s="55"/>
    </row>
    <row r="559" ht="14.25" customHeight="1">
      <c r="G559" s="55"/>
    </row>
    <row r="560" ht="14.25" customHeight="1">
      <c r="G560" s="55"/>
    </row>
    <row r="561" ht="14.25" customHeight="1">
      <c r="G561" s="55"/>
    </row>
    <row r="562" ht="14.25" customHeight="1">
      <c r="G562" s="55"/>
    </row>
    <row r="563" ht="14.25" customHeight="1">
      <c r="G563" s="55"/>
    </row>
    <row r="564" ht="14.25" customHeight="1">
      <c r="G564" s="55"/>
    </row>
    <row r="565" ht="14.25" customHeight="1">
      <c r="G565" s="55"/>
    </row>
    <row r="566" ht="14.25" customHeight="1">
      <c r="G566" s="55"/>
    </row>
    <row r="567" ht="14.25" customHeight="1">
      <c r="G567" s="55"/>
    </row>
    <row r="568" ht="14.25" customHeight="1">
      <c r="G568" s="55"/>
    </row>
    <row r="569" ht="14.25" customHeight="1">
      <c r="G569" s="55"/>
    </row>
    <row r="570" ht="14.25" customHeight="1">
      <c r="G570" s="55"/>
    </row>
    <row r="571" ht="14.25" customHeight="1">
      <c r="G571" s="55"/>
    </row>
    <row r="572" ht="14.25" customHeight="1">
      <c r="G572" s="55"/>
    </row>
    <row r="573" ht="14.25" customHeight="1">
      <c r="G573" s="55"/>
    </row>
    <row r="574" ht="14.25" customHeight="1">
      <c r="G574" s="55"/>
    </row>
    <row r="575" ht="14.25" customHeight="1">
      <c r="G575" s="55"/>
    </row>
    <row r="576" ht="14.25" customHeight="1">
      <c r="G576" s="55"/>
    </row>
    <row r="577" ht="14.25" customHeight="1">
      <c r="G577" s="55"/>
    </row>
    <row r="578" ht="14.25" customHeight="1">
      <c r="G578" s="55"/>
    </row>
    <row r="579" ht="14.25" customHeight="1">
      <c r="G579" s="55"/>
    </row>
    <row r="580" ht="14.25" customHeight="1">
      <c r="G580" s="55"/>
    </row>
    <row r="581" ht="14.25" customHeight="1">
      <c r="G581" s="55"/>
    </row>
    <row r="582" ht="14.25" customHeight="1">
      <c r="G582" s="55"/>
    </row>
    <row r="583" ht="14.25" customHeight="1">
      <c r="G583" s="55"/>
    </row>
    <row r="584" ht="14.25" customHeight="1">
      <c r="G584" s="55"/>
    </row>
    <row r="585" ht="14.25" customHeight="1">
      <c r="G585" s="55"/>
    </row>
    <row r="586" ht="14.25" customHeight="1">
      <c r="G586" s="55"/>
    </row>
    <row r="587" ht="14.25" customHeight="1">
      <c r="G587" s="55"/>
    </row>
    <row r="588" ht="14.25" customHeight="1">
      <c r="G588" s="55"/>
    </row>
    <row r="589" ht="14.25" customHeight="1">
      <c r="G589" s="55"/>
    </row>
    <row r="590" ht="14.25" customHeight="1">
      <c r="G590" s="55"/>
    </row>
    <row r="591" ht="14.25" customHeight="1">
      <c r="G591" s="55"/>
    </row>
    <row r="592" ht="14.25" customHeight="1">
      <c r="G592" s="55"/>
    </row>
    <row r="593" ht="14.25" customHeight="1">
      <c r="G593" s="55"/>
    </row>
    <row r="594" ht="14.25" customHeight="1">
      <c r="G594" s="55"/>
    </row>
    <row r="595" ht="14.25" customHeight="1">
      <c r="G595" s="55"/>
    </row>
    <row r="596" ht="14.25" customHeight="1">
      <c r="G596" s="55"/>
    </row>
    <row r="597" ht="14.25" customHeight="1">
      <c r="G597" s="55"/>
    </row>
    <row r="598" ht="14.25" customHeight="1">
      <c r="G598" s="55"/>
    </row>
    <row r="599" ht="14.25" customHeight="1">
      <c r="G599" s="55"/>
    </row>
    <row r="600" ht="14.25" customHeight="1">
      <c r="G600" s="55"/>
    </row>
    <row r="601" ht="14.25" customHeight="1">
      <c r="G601" s="55"/>
    </row>
    <row r="602" ht="14.25" customHeight="1">
      <c r="G602" s="55"/>
    </row>
    <row r="603" ht="14.25" customHeight="1">
      <c r="G603" s="55"/>
    </row>
    <row r="604" ht="14.25" customHeight="1">
      <c r="G604" s="55"/>
    </row>
    <row r="605" ht="14.25" customHeight="1">
      <c r="G605" s="55"/>
    </row>
    <row r="606" ht="14.25" customHeight="1">
      <c r="G606" s="55"/>
    </row>
    <row r="607" ht="14.25" customHeight="1">
      <c r="G607" s="55"/>
    </row>
    <row r="608" ht="14.25" customHeight="1">
      <c r="G608" s="55"/>
    </row>
    <row r="609" ht="14.25" customHeight="1">
      <c r="G609" s="55"/>
    </row>
    <row r="610" ht="14.25" customHeight="1">
      <c r="G610" s="55"/>
    </row>
    <row r="611" ht="14.25" customHeight="1">
      <c r="G611" s="55"/>
    </row>
    <row r="612" ht="14.25" customHeight="1">
      <c r="G612" s="55"/>
    </row>
    <row r="613" ht="14.25" customHeight="1">
      <c r="G613" s="55"/>
    </row>
    <row r="614" ht="14.25" customHeight="1">
      <c r="G614" s="55"/>
    </row>
    <row r="615" ht="14.25" customHeight="1">
      <c r="G615" s="55"/>
    </row>
    <row r="616" ht="14.25" customHeight="1">
      <c r="G616" s="55"/>
    </row>
    <row r="617" ht="14.25" customHeight="1">
      <c r="G617" s="55"/>
    </row>
    <row r="618" ht="14.25" customHeight="1">
      <c r="G618" s="55"/>
    </row>
    <row r="619" ht="14.25" customHeight="1">
      <c r="G619" s="55"/>
    </row>
    <row r="620" ht="14.25" customHeight="1">
      <c r="G620" s="55"/>
    </row>
    <row r="621" ht="14.25" customHeight="1">
      <c r="G621" s="55"/>
    </row>
    <row r="622" ht="14.25" customHeight="1">
      <c r="G622" s="55"/>
    </row>
    <row r="623" ht="14.25" customHeight="1">
      <c r="G623" s="55"/>
    </row>
    <row r="624" ht="14.25" customHeight="1">
      <c r="G624" s="55"/>
    </row>
    <row r="625" ht="14.25" customHeight="1">
      <c r="G625" s="55"/>
    </row>
    <row r="626" ht="14.25" customHeight="1">
      <c r="G626" s="55"/>
    </row>
    <row r="627" ht="14.25" customHeight="1">
      <c r="G627" s="55"/>
    </row>
    <row r="628" ht="14.25" customHeight="1">
      <c r="G628" s="55"/>
    </row>
    <row r="629" ht="14.25" customHeight="1">
      <c r="G629" s="55"/>
    </row>
    <row r="630" ht="14.25" customHeight="1">
      <c r="G630" s="55"/>
    </row>
    <row r="631" ht="14.25" customHeight="1">
      <c r="G631" s="55"/>
    </row>
    <row r="632" ht="14.25" customHeight="1">
      <c r="G632" s="55"/>
    </row>
    <row r="633" ht="14.25" customHeight="1">
      <c r="G633" s="55"/>
    </row>
    <row r="634" ht="14.25" customHeight="1">
      <c r="G634" s="55"/>
    </row>
    <row r="635" ht="14.25" customHeight="1">
      <c r="G635" s="55"/>
    </row>
    <row r="636" ht="14.25" customHeight="1">
      <c r="G636" s="55"/>
    </row>
    <row r="637" ht="14.25" customHeight="1">
      <c r="G637" s="55"/>
    </row>
    <row r="638" ht="14.25" customHeight="1">
      <c r="G638" s="55"/>
    </row>
    <row r="639" ht="14.25" customHeight="1">
      <c r="G639" s="55"/>
    </row>
    <row r="640" ht="14.25" customHeight="1">
      <c r="G640" s="55"/>
    </row>
    <row r="641" ht="14.25" customHeight="1">
      <c r="G641" s="55"/>
    </row>
    <row r="642" ht="14.25" customHeight="1">
      <c r="G642" s="55"/>
    </row>
    <row r="643" ht="14.25" customHeight="1">
      <c r="G643" s="55"/>
    </row>
    <row r="644" ht="14.25" customHeight="1">
      <c r="G644" s="55"/>
    </row>
    <row r="645" ht="14.25" customHeight="1">
      <c r="G645" s="55"/>
    </row>
    <row r="646" ht="14.25" customHeight="1">
      <c r="G646" s="55"/>
    </row>
    <row r="647" ht="14.25" customHeight="1">
      <c r="G647" s="55"/>
    </row>
    <row r="648" ht="14.25" customHeight="1">
      <c r="G648" s="55"/>
    </row>
    <row r="649" ht="14.25" customHeight="1">
      <c r="G649" s="55"/>
    </row>
    <row r="650" ht="14.25" customHeight="1">
      <c r="G650" s="55"/>
    </row>
    <row r="651" ht="14.25" customHeight="1">
      <c r="G651" s="55"/>
    </row>
    <row r="652" ht="14.25" customHeight="1">
      <c r="G652" s="55"/>
    </row>
    <row r="653" ht="14.25" customHeight="1">
      <c r="G653" s="55"/>
    </row>
    <row r="654" ht="14.25" customHeight="1">
      <c r="G654" s="55"/>
    </row>
    <row r="655" ht="14.25" customHeight="1">
      <c r="G655" s="55"/>
    </row>
    <row r="656" ht="14.25" customHeight="1">
      <c r="G656" s="55"/>
    </row>
    <row r="657" ht="14.25" customHeight="1">
      <c r="G657" s="55"/>
    </row>
    <row r="658" ht="14.25" customHeight="1">
      <c r="G658" s="55"/>
    </row>
    <row r="659" ht="14.25" customHeight="1">
      <c r="G659" s="55"/>
    </row>
    <row r="660" ht="14.25" customHeight="1">
      <c r="G660" s="55"/>
    </row>
    <row r="661" ht="14.25" customHeight="1">
      <c r="G661" s="55"/>
    </row>
    <row r="662" ht="14.25" customHeight="1">
      <c r="G662" s="55"/>
    </row>
    <row r="663" ht="14.25" customHeight="1">
      <c r="G663" s="55"/>
    </row>
    <row r="664" ht="14.25" customHeight="1">
      <c r="G664" s="55"/>
    </row>
    <row r="665" ht="14.25" customHeight="1">
      <c r="G665" s="55"/>
    </row>
    <row r="666" ht="14.25" customHeight="1">
      <c r="G666" s="55"/>
    </row>
    <row r="667" ht="14.25" customHeight="1">
      <c r="G667" s="55"/>
    </row>
    <row r="668" ht="14.25" customHeight="1">
      <c r="G668" s="55"/>
    </row>
    <row r="669" ht="14.25" customHeight="1">
      <c r="G669" s="55"/>
    </row>
    <row r="670" ht="14.25" customHeight="1">
      <c r="G670" s="55"/>
    </row>
    <row r="671" ht="14.25" customHeight="1">
      <c r="G671" s="55"/>
    </row>
    <row r="672" ht="14.25" customHeight="1">
      <c r="G672" s="55"/>
    </row>
    <row r="673" ht="14.25" customHeight="1">
      <c r="G673" s="55"/>
    </row>
    <row r="674" ht="14.25" customHeight="1">
      <c r="G674" s="55"/>
    </row>
    <row r="675" ht="14.25" customHeight="1">
      <c r="G675" s="55"/>
    </row>
    <row r="676" ht="14.25" customHeight="1">
      <c r="G676" s="55"/>
    </row>
    <row r="677" ht="14.25" customHeight="1">
      <c r="G677" s="55"/>
    </row>
    <row r="678" ht="14.25" customHeight="1">
      <c r="G678" s="55"/>
    </row>
    <row r="679" ht="14.25" customHeight="1">
      <c r="G679" s="55"/>
    </row>
    <row r="680" ht="14.25" customHeight="1">
      <c r="G680" s="55"/>
    </row>
    <row r="681" ht="14.25" customHeight="1">
      <c r="G681" s="55"/>
    </row>
    <row r="682" ht="14.25" customHeight="1">
      <c r="G682" s="55"/>
    </row>
    <row r="683" ht="14.25" customHeight="1">
      <c r="G683" s="55"/>
    </row>
    <row r="684" ht="14.25" customHeight="1">
      <c r="G684" s="55"/>
    </row>
    <row r="685" ht="14.25" customHeight="1">
      <c r="G685" s="55"/>
    </row>
    <row r="686" ht="14.25" customHeight="1">
      <c r="G686" s="55"/>
    </row>
    <row r="687" ht="14.25" customHeight="1">
      <c r="G687" s="55"/>
    </row>
    <row r="688" ht="14.25" customHeight="1">
      <c r="G688" s="55"/>
    </row>
    <row r="689" ht="14.25" customHeight="1">
      <c r="G689" s="55"/>
    </row>
    <row r="690" ht="14.25" customHeight="1">
      <c r="G690" s="55"/>
    </row>
    <row r="691" ht="14.25" customHeight="1">
      <c r="G691" s="55"/>
    </row>
    <row r="692" ht="14.25" customHeight="1">
      <c r="G692" s="55"/>
    </row>
    <row r="693" ht="14.25" customHeight="1">
      <c r="G693" s="55"/>
    </row>
    <row r="694" ht="14.25" customHeight="1">
      <c r="G694" s="55"/>
    </row>
    <row r="695" ht="14.25" customHeight="1">
      <c r="G695" s="55"/>
    </row>
    <row r="696" ht="14.25" customHeight="1">
      <c r="G696" s="55"/>
    </row>
    <row r="697" ht="14.25" customHeight="1">
      <c r="G697" s="55"/>
    </row>
    <row r="698" ht="14.25" customHeight="1">
      <c r="G698" s="55"/>
    </row>
    <row r="699" ht="14.25" customHeight="1">
      <c r="G699" s="55"/>
    </row>
    <row r="700" ht="14.25" customHeight="1">
      <c r="G700" s="55"/>
    </row>
    <row r="701" ht="14.25" customHeight="1">
      <c r="G701" s="55"/>
    </row>
    <row r="702" ht="14.25" customHeight="1">
      <c r="G702" s="55"/>
    </row>
    <row r="703" ht="14.25" customHeight="1">
      <c r="G703" s="55"/>
    </row>
    <row r="704" ht="14.25" customHeight="1">
      <c r="G704" s="55"/>
    </row>
    <row r="705" ht="14.25" customHeight="1">
      <c r="G705" s="55"/>
    </row>
    <row r="706" ht="14.25" customHeight="1">
      <c r="G706" s="55"/>
    </row>
    <row r="707" ht="14.25" customHeight="1">
      <c r="G707" s="55"/>
    </row>
    <row r="708" ht="14.25" customHeight="1">
      <c r="G708" s="55"/>
    </row>
    <row r="709" ht="14.25" customHeight="1">
      <c r="G709" s="55"/>
    </row>
    <row r="710" ht="14.25" customHeight="1">
      <c r="G710" s="55"/>
    </row>
    <row r="711" ht="14.25" customHeight="1">
      <c r="G711" s="55"/>
    </row>
    <row r="712" ht="14.25" customHeight="1">
      <c r="G712" s="55"/>
    </row>
    <row r="713" ht="14.25" customHeight="1">
      <c r="G713" s="55"/>
    </row>
    <row r="714" ht="14.25" customHeight="1">
      <c r="G714" s="55"/>
    </row>
    <row r="715" ht="14.25" customHeight="1">
      <c r="G715" s="55"/>
    </row>
    <row r="716" ht="14.25" customHeight="1">
      <c r="G716" s="55"/>
    </row>
    <row r="717" ht="14.25" customHeight="1">
      <c r="G717" s="55"/>
    </row>
    <row r="718" ht="14.25" customHeight="1">
      <c r="G718" s="55"/>
    </row>
    <row r="719" ht="14.25" customHeight="1">
      <c r="G719" s="55"/>
    </row>
    <row r="720" ht="14.25" customHeight="1">
      <c r="G720" s="55"/>
    </row>
    <row r="721" ht="14.25" customHeight="1">
      <c r="G721" s="55"/>
    </row>
    <row r="722" ht="14.25" customHeight="1">
      <c r="G722" s="55"/>
    </row>
    <row r="723" ht="14.25" customHeight="1">
      <c r="G723" s="55"/>
    </row>
    <row r="724" ht="14.25" customHeight="1">
      <c r="G724" s="55"/>
    </row>
    <row r="725" ht="14.25" customHeight="1">
      <c r="G725" s="55"/>
    </row>
    <row r="726" ht="14.25" customHeight="1">
      <c r="G726" s="55"/>
    </row>
    <row r="727" ht="14.25" customHeight="1">
      <c r="G727" s="55"/>
    </row>
    <row r="728" ht="14.25" customHeight="1">
      <c r="G728" s="55"/>
    </row>
    <row r="729" ht="14.25" customHeight="1">
      <c r="G729" s="55"/>
    </row>
    <row r="730" ht="14.25" customHeight="1">
      <c r="G730" s="55"/>
    </row>
    <row r="731" ht="14.25" customHeight="1">
      <c r="G731" s="55"/>
    </row>
    <row r="732" ht="14.25" customHeight="1">
      <c r="G732" s="55"/>
    </row>
    <row r="733" ht="14.25" customHeight="1">
      <c r="G733" s="55"/>
    </row>
    <row r="734" ht="14.25" customHeight="1">
      <c r="G734" s="55"/>
    </row>
    <row r="735" ht="14.25" customHeight="1">
      <c r="G735" s="55"/>
    </row>
    <row r="736" ht="14.25" customHeight="1">
      <c r="G736" s="55"/>
    </row>
    <row r="737" ht="14.25" customHeight="1">
      <c r="G737" s="55"/>
    </row>
    <row r="738" ht="14.25" customHeight="1">
      <c r="G738" s="55"/>
    </row>
    <row r="739" ht="14.25" customHeight="1">
      <c r="G739" s="55"/>
    </row>
    <row r="740" ht="14.25" customHeight="1">
      <c r="G740" s="55"/>
    </row>
    <row r="741" ht="14.25" customHeight="1">
      <c r="G741" s="55"/>
    </row>
    <row r="742" ht="14.25" customHeight="1">
      <c r="G742" s="55"/>
    </row>
    <row r="743" ht="14.25" customHeight="1">
      <c r="G743" s="55"/>
    </row>
    <row r="744" ht="14.25" customHeight="1">
      <c r="G744" s="55"/>
    </row>
    <row r="745" ht="14.25" customHeight="1">
      <c r="G745" s="55"/>
    </row>
    <row r="746" ht="14.25" customHeight="1">
      <c r="G746" s="55"/>
    </row>
    <row r="747" ht="14.25" customHeight="1">
      <c r="G747" s="55"/>
    </row>
    <row r="748" ht="14.25" customHeight="1">
      <c r="G748" s="55"/>
    </row>
    <row r="749" ht="14.25" customHeight="1">
      <c r="G749" s="55"/>
    </row>
    <row r="750" ht="14.25" customHeight="1">
      <c r="G750" s="55"/>
    </row>
    <row r="751" ht="14.25" customHeight="1">
      <c r="G751" s="55"/>
    </row>
    <row r="752" ht="14.25" customHeight="1">
      <c r="G752" s="55"/>
    </row>
    <row r="753" ht="14.25" customHeight="1">
      <c r="G753" s="55"/>
    </row>
    <row r="754" ht="14.25" customHeight="1">
      <c r="G754" s="55"/>
    </row>
    <row r="755" ht="14.25" customHeight="1">
      <c r="G755" s="55"/>
    </row>
    <row r="756" ht="14.25" customHeight="1">
      <c r="G756" s="55"/>
    </row>
    <row r="757" ht="14.25" customHeight="1">
      <c r="G757" s="55"/>
    </row>
    <row r="758" ht="14.25" customHeight="1">
      <c r="G758" s="55"/>
    </row>
    <row r="759" ht="14.25" customHeight="1">
      <c r="G759" s="55"/>
    </row>
    <row r="760" ht="14.25" customHeight="1">
      <c r="G760" s="55"/>
    </row>
    <row r="761" ht="14.25" customHeight="1">
      <c r="G761" s="55"/>
    </row>
    <row r="762" ht="14.25" customHeight="1">
      <c r="G762" s="55"/>
    </row>
    <row r="763" ht="14.25" customHeight="1">
      <c r="G763" s="55"/>
    </row>
    <row r="764" ht="14.25" customHeight="1">
      <c r="G764" s="55"/>
    </row>
    <row r="765" ht="14.25" customHeight="1">
      <c r="G765" s="55"/>
    </row>
    <row r="766" ht="14.25" customHeight="1">
      <c r="G766" s="55"/>
    </row>
    <row r="767" ht="14.25" customHeight="1">
      <c r="G767" s="55"/>
    </row>
    <row r="768" ht="14.25" customHeight="1">
      <c r="G768" s="55"/>
    </row>
    <row r="769" ht="14.25" customHeight="1">
      <c r="G769" s="55"/>
    </row>
    <row r="770" ht="14.25" customHeight="1">
      <c r="G770" s="55"/>
    </row>
    <row r="771" ht="14.25" customHeight="1">
      <c r="G771" s="55"/>
    </row>
    <row r="772" ht="14.25" customHeight="1">
      <c r="G772" s="55"/>
    </row>
    <row r="773" ht="14.25" customHeight="1">
      <c r="G773" s="55"/>
    </row>
    <row r="774" ht="14.25" customHeight="1">
      <c r="G774" s="55"/>
    </row>
    <row r="775" ht="14.25" customHeight="1">
      <c r="G775" s="55"/>
    </row>
    <row r="776" ht="14.25" customHeight="1">
      <c r="G776" s="55"/>
    </row>
    <row r="777" ht="14.25" customHeight="1">
      <c r="G777" s="55"/>
    </row>
    <row r="778" ht="14.25" customHeight="1">
      <c r="G778" s="55"/>
    </row>
    <row r="779" ht="14.25" customHeight="1">
      <c r="G779" s="55"/>
    </row>
    <row r="780" ht="14.25" customHeight="1">
      <c r="G780" s="55"/>
    </row>
    <row r="781" ht="14.25" customHeight="1">
      <c r="G781" s="55"/>
    </row>
    <row r="782" ht="14.25" customHeight="1">
      <c r="G782" s="55"/>
    </row>
    <row r="783" ht="14.25" customHeight="1">
      <c r="G783" s="55"/>
    </row>
    <row r="784" ht="14.25" customHeight="1">
      <c r="G784" s="55"/>
    </row>
    <row r="785" ht="14.25" customHeight="1">
      <c r="G785" s="55"/>
    </row>
    <row r="786" ht="14.25" customHeight="1">
      <c r="G786" s="55"/>
    </row>
    <row r="787" ht="14.25" customHeight="1">
      <c r="G787" s="55"/>
    </row>
    <row r="788" ht="14.25" customHeight="1">
      <c r="G788" s="55"/>
    </row>
    <row r="789" ht="14.25" customHeight="1">
      <c r="G789" s="55"/>
    </row>
    <row r="790" ht="14.25" customHeight="1">
      <c r="G790" s="55"/>
    </row>
    <row r="791" ht="14.25" customHeight="1">
      <c r="G791" s="55"/>
    </row>
    <row r="792" ht="14.25" customHeight="1">
      <c r="G792" s="55"/>
    </row>
    <row r="793" ht="14.25" customHeight="1">
      <c r="G793" s="55"/>
    </row>
    <row r="794" ht="14.25" customHeight="1">
      <c r="G794" s="55"/>
    </row>
    <row r="795" ht="14.25" customHeight="1">
      <c r="G795" s="55"/>
    </row>
    <row r="796" ht="14.25" customHeight="1">
      <c r="G796" s="55"/>
    </row>
    <row r="797" ht="14.25" customHeight="1">
      <c r="G797" s="55"/>
    </row>
    <row r="798" ht="14.25" customHeight="1">
      <c r="G798" s="55"/>
    </row>
    <row r="799" ht="14.25" customHeight="1">
      <c r="G799" s="55"/>
    </row>
    <row r="800" ht="14.25" customHeight="1">
      <c r="G800" s="55"/>
    </row>
    <row r="801" ht="14.25" customHeight="1">
      <c r="G801" s="55"/>
    </row>
    <row r="802" ht="14.25" customHeight="1">
      <c r="G802" s="55"/>
    </row>
    <row r="803" ht="14.25" customHeight="1">
      <c r="G803" s="55"/>
    </row>
    <row r="804" ht="14.25" customHeight="1">
      <c r="G804" s="55"/>
    </row>
    <row r="805" ht="14.25" customHeight="1">
      <c r="G805" s="55"/>
    </row>
    <row r="806" ht="14.25" customHeight="1">
      <c r="G806" s="55"/>
    </row>
    <row r="807" ht="14.25" customHeight="1">
      <c r="G807" s="55"/>
    </row>
    <row r="808" ht="14.25" customHeight="1">
      <c r="G808" s="55"/>
    </row>
    <row r="809" ht="14.25" customHeight="1">
      <c r="G809" s="55"/>
    </row>
    <row r="810" ht="14.25" customHeight="1">
      <c r="G810" s="55"/>
    </row>
    <row r="811" ht="14.25" customHeight="1">
      <c r="G811" s="55"/>
    </row>
    <row r="812" ht="14.25" customHeight="1">
      <c r="G812" s="55"/>
    </row>
    <row r="813" ht="14.25" customHeight="1">
      <c r="G813" s="55"/>
    </row>
    <row r="814" ht="14.25" customHeight="1">
      <c r="G814" s="55"/>
    </row>
    <row r="815" ht="14.25" customHeight="1">
      <c r="G815" s="55"/>
    </row>
    <row r="816" ht="14.25" customHeight="1">
      <c r="G816" s="55"/>
    </row>
    <row r="817" ht="14.25" customHeight="1">
      <c r="G817" s="55"/>
    </row>
    <row r="818" ht="14.25" customHeight="1">
      <c r="G818" s="55"/>
    </row>
    <row r="819" ht="14.25" customHeight="1">
      <c r="G819" s="55"/>
    </row>
    <row r="820" ht="14.25" customHeight="1">
      <c r="G820" s="55"/>
    </row>
    <row r="821" ht="14.25" customHeight="1">
      <c r="G821" s="55"/>
    </row>
    <row r="822" ht="14.25" customHeight="1">
      <c r="G822" s="55"/>
    </row>
    <row r="823" ht="14.25" customHeight="1">
      <c r="G823" s="55"/>
    </row>
    <row r="824" ht="14.25" customHeight="1">
      <c r="G824" s="55"/>
    </row>
    <row r="825" ht="14.25" customHeight="1">
      <c r="G825" s="55"/>
    </row>
    <row r="826" ht="14.25" customHeight="1">
      <c r="G826" s="55"/>
    </row>
    <row r="827" ht="14.25" customHeight="1">
      <c r="G827" s="55"/>
    </row>
    <row r="828" ht="14.25" customHeight="1">
      <c r="G828" s="55"/>
    </row>
    <row r="829" ht="14.25" customHeight="1">
      <c r="G829" s="55"/>
    </row>
    <row r="830" ht="14.25" customHeight="1">
      <c r="G830" s="55"/>
    </row>
    <row r="831" ht="14.25" customHeight="1">
      <c r="G831" s="55"/>
    </row>
    <row r="832" ht="14.25" customHeight="1">
      <c r="G832" s="55"/>
    </row>
    <row r="833" ht="14.25" customHeight="1">
      <c r="G833" s="55"/>
    </row>
    <row r="834" ht="14.25" customHeight="1">
      <c r="G834" s="55"/>
    </row>
    <row r="835" ht="14.25" customHeight="1">
      <c r="G835" s="55"/>
    </row>
    <row r="836" ht="14.25" customHeight="1">
      <c r="G836" s="55"/>
    </row>
    <row r="837" ht="14.25" customHeight="1">
      <c r="G837" s="55"/>
    </row>
    <row r="838" ht="14.25" customHeight="1">
      <c r="G838" s="55"/>
    </row>
    <row r="839" ht="14.25" customHeight="1">
      <c r="G839" s="55"/>
    </row>
    <row r="840" ht="14.25" customHeight="1">
      <c r="G840" s="55"/>
    </row>
    <row r="841" ht="14.25" customHeight="1">
      <c r="G841" s="55"/>
    </row>
    <row r="842" ht="14.25" customHeight="1">
      <c r="G842" s="55"/>
    </row>
    <row r="843" ht="14.25" customHeight="1">
      <c r="G843" s="55"/>
    </row>
    <row r="844" ht="14.25" customHeight="1">
      <c r="G844" s="55"/>
    </row>
    <row r="845" ht="14.25" customHeight="1">
      <c r="G845" s="55"/>
    </row>
    <row r="846" ht="14.25" customHeight="1">
      <c r="G846" s="55"/>
    </row>
    <row r="847" ht="14.25" customHeight="1">
      <c r="G847" s="55"/>
    </row>
    <row r="848" ht="14.25" customHeight="1">
      <c r="G848" s="55"/>
    </row>
    <row r="849" ht="14.25" customHeight="1">
      <c r="G849" s="55"/>
    </row>
    <row r="850" ht="14.25" customHeight="1">
      <c r="G850" s="55"/>
    </row>
    <row r="851" ht="14.25" customHeight="1">
      <c r="G851" s="55"/>
    </row>
    <row r="852" ht="14.25" customHeight="1">
      <c r="G852" s="55"/>
    </row>
    <row r="853" ht="14.25" customHeight="1">
      <c r="G853" s="55"/>
    </row>
    <row r="854" ht="14.25" customHeight="1">
      <c r="G854" s="55"/>
    </row>
    <row r="855" ht="14.25" customHeight="1">
      <c r="G855" s="55"/>
    </row>
    <row r="856" ht="14.25" customHeight="1">
      <c r="G856" s="55"/>
    </row>
    <row r="857" ht="14.25" customHeight="1">
      <c r="G857" s="55"/>
    </row>
    <row r="858" ht="14.25" customHeight="1">
      <c r="G858" s="55"/>
    </row>
    <row r="859" ht="14.25" customHeight="1">
      <c r="G859" s="55"/>
    </row>
    <row r="860" ht="14.25" customHeight="1">
      <c r="G860" s="55"/>
    </row>
    <row r="861" ht="14.25" customHeight="1">
      <c r="G861" s="55"/>
    </row>
    <row r="862" ht="14.25" customHeight="1">
      <c r="G862" s="55"/>
    </row>
    <row r="863" ht="14.25" customHeight="1">
      <c r="G863" s="55"/>
    </row>
    <row r="864" ht="14.25" customHeight="1">
      <c r="G864" s="55"/>
    </row>
    <row r="865" ht="14.25" customHeight="1">
      <c r="G865" s="55"/>
    </row>
    <row r="866" ht="14.25" customHeight="1">
      <c r="G866" s="55"/>
    </row>
    <row r="867" ht="14.25" customHeight="1">
      <c r="G867" s="55"/>
    </row>
    <row r="868" ht="14.25" customHeight="1">
      <c r="G868" s="55"/>
    </row>
    <row r="869" ht="14.25" customHeight="1">
      <c r="G869" s="55"/>
    </row>
    <row r="870" ht="14.25" customHeight="1">
      <c r="G870" s="55"/>
    </row>
    <row r="871" ht="14.25" customHeight="1">
      <c r="G871" s="55"/>
    </row>
    <row r="872" ht="14.25" customHeight="1">
      <c r="G872" s="55"/>
    </row>
    <row r="873" ht="14.25" customHeight="1">
      <c r="G873" s="55"/>
    </row>
    <row r="874" ht="14.25" customHeight="1">
      <c r="G874" s="55"/>
    </row>
    <row r="875" ht="14.25" customHeight="1">
      <c r="G875" s="55"/>
    </row>
    <row r="876" ht="14.25" customHeight="1">
      <c r="G876" s="55"/>
    </row>
    <row r="877" ht="14.25" customHeight="1">
      <c r="G877" s="55"/>
    </row>
    <row r="878" ht="14.25" customHeight="1">
      <c r="G878" s="55"/>
    </row>
    <row r="879" ht="14.25" customHeight="1">
      <c r="G879" s="55"/>
    </row>
    <row r="880" ht="14.25" customHeight="1">
      <c r="G880" s="55"/>
    </row>
    <row r="881" ht="14.25" customHeight="1">
      <c r="G881" s="55"/>
    </row>
    <row r="882" ht="14.25" customHeight="1">
      <c r="G882" s="55"/>
    </row>
    <row r="883" ht="14.25" customHeight="1">
      <c r="G883" s="55"/>
    </row>
    <row r="884" ht="14.25" customHeight="1">
      <c r="G884" s="55"/>
    </row>
    <row r="885" ht="14.25" customHeight="1">
      <c r="G885" s="55"/>
    </row>
    <row r="886" ht="14.25" customHeight="1">
      <c r="G886" s="55"/>
    </row>
    <row r="887" ht="14.25" customHeight="1">
      <c r="G887" s="55"/>
    </row>
    <row r="888" ht="14.25" customHeight="1">
      <c r="G888" s="55"/>
    </row>
    <row r="889" ht="14.25" customHeight="1">
      <c r="G889" s="55"/>
    </row>
    <row r="890" ht="14.25" customHeight="1">
      <c r="G890" s="55"/>
    </row>
    <row r="891" ht="14.25" customHeight="1">
      <c r="G891" s="55"/>
    </row>
    <row r="892" ht="14.25" customHeight="1">
      <c r="G892" s="55"/>
    </row>
    <row r="893" ht="14.25" customHeight="1">
      <c r="G893" s="55"/>
    </row>
    <row r="894" ht="14.25" customHeight="1">
      <c r="G894" s="55"/>
    </row>
    <row r="895" ht="14.25" customHeight="1">
      <c r="G895" s="55"/>
    </row>
    <row r="896" ht="14.25" customHeight="1">
      <c r="G896" s="55"/>
    </row>
    <row r="897" ht="14.25" customHeight="1">
      <c r="G897" s="55"/>
    </row>
    <row r="898" ht="14.25" customHeight="1">
      <c r="G898" s="55"/>
    </row>
    <row r="899" ht="14.25" customHeight="1">
      <c r="G899" s="55"/>
    </row>
    <row r="900" ht="14.25" customHeight="1">
      <c r="G900" s="55"/>
    </row>
    <row r="901" ht="14.25" customHeight="1">
      <c r="G901" s="55"/>
    </row>
    <row r="902" ht="14.25" customHeight="1">
      <c r="G902" s="55"/>
    </row>
    <row r="903" ht="14.25" customHeight="1">
      <c r="G903" s="55"/>
    </row>
    <row r="904" ht="14.25" customHeight="1">
      <c r="G904" s="55"/>
    </row>
    <row r="905" ht="14.25" customHeight="1">
      <c r="G905" s="55"/>
    </row>
    <row r="906" ht="14.25" customHeight="1">
      <c r="G906" s="55"/>
    </row>
    <row r="907" ht="14.25" customHeight="1">
      <c r="G907" s="55"/>
    </row>
    <row r="908" ht="14.25" customHeight="1">
      <c r="G908" s="55"/>
    </row>
    <row r="909" ht="14.25" customHeight="1">
      <c r="G909" s="55"/>
    </row>
  </sheetData>
  <mergeCells count="5">
    <mergeCell ref="F6:G6"/>
    <mergeCell ref="F8:G8"/>
    <mergeCell ref="B10:B13"/>
    <mergeCell ref="B16:B19"/>
    <mergeCell ref="B21:B22"/>
  </mergeCells>
  <conditionalFormatting sqref="C1">
    <cfRule type="notContainsBlanks" dxfId="8" priority="1">
      <formula>LEN(TRIM(C1))&gt;0</formula>
    </cfRule>
  </conditionalFormatting>
  <dataValidations>
    <dataValidation type="list" allowBlank="1" sqref="C36">
      <formula1>"Gross Margin,Net Margin"</formula1>
    </dataValidation>
    <dataValidation type="list" allowBlank="1" sqref="C3">
      <formula1>"Nómina,Prestación de Servicios,Deel/Ontop"</formula1>
    </dataValidation>
    <dataValidation type="list" allowBlank="1" showErrorMessage="1" sqref="D25:D32">
      <formula1>"Nómina,P. Servicios"</formula1>
    </dataValidation>
    <dataValidation type="list" allowBlank="1" sqref="B25:B32">
      <formula1>'Parámetros'!$A$2:$A$113</formula1>
    </dataValidation>
    <dataValidation type="list" allowBlank="1" sqref="C2">
      <formula1>'Parámetros'!$A$118:$A$123</formula1>
    </dataValidation>
    <dataValidation type="list" allowBlank="1" sqref="D36">
      <formula1>"COP,USD"</formula1>
    </dataValidation>
  </dataValidations>
  <printOptions/>
  <pageMargins bottom="0.75" footer="0.0" header="0.0" left="0.7" right="0.7" top="0.75"/>
  <pageSetup orientation="portrait"/>
  <drawing r:id="rId1"/>
  <tableParts count="3">
    <tablePart r:id="rId5"/>
    <tablePart r:id="rId6"/>
    <tablePart r:id="rId7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4.14"/>
    <col customWidth="1" min="2" max="2" width="38.43"/>
    <col customWidth="1" min="3" max="3" width="23.14"/>
    <col customWidth="1" min="4" max="4" width="16.29"/>
    <col customWidth="1" min="5" max="5" width="14.86"/>
    <col customWidth="1" min="6" max="6" width="18.0"/>
    <col customWidth="1" min="7" max="7" width="16.29"/>
    <col customWidth="1" min="8" max="8" width="15.14"/>
    <col customWidth="1" min="9" max="9" width="19.0"/>
    <col customWidth="1" min="10" max="10" width="17.0"/>
    <col customWidth="1" min="11" max="11" width="14.86"/>
    <col customWidth="1" min="12" max="12" width="14.71"/>
    <col customWidth="1" min="13" max="13" width="17.29"/>
    <col customWidth="1" min="14" max="14" width="15.57"/>
    <col customWidth="1" min="15" max="15" width="10.71"/>
    <col customWidth="1" min="16" max="16" width="23.14"/>
    <col customWidth="1" min="17" max="17" width="17.57"/>
    <col customWidth="1" min="18" max="18" width="15.71"/>
    <col customWidth="1" min="19" max="19" width="18.86"/>
    <col customWidth="1" hidden="1" min="20" max="20" width="13.71"/>
    <col customWidth="1" hidden="1" min="21" max="21" width="13.43"/>
    <col customWidth="1" hidden="1" min="22" max="32" width="10.71"/>
  </cols>
  <sheetData>
    <row r="1" ht="8.25" customHeight="1">
      <c r="A1" s="200"/>
      <c r="B1" s="200"/>
      <c r="C1" s="200"/>
      <c r="D1" s="200"/>
      <c r="E1" s="200"/>
      <c r="F1" s="200"/>
      <c r="G1" s="201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</row>
    <row r="2" ht="15.75" customHeight="1">
      <c r="A2" s="200"/>
      <c r="B2" s="202" t="s">
        <v>150</v>
      </c>
      <c r="C2" s="203" t="s">
        <v>93</v>
      </c>
      <c r="D2" s="16"/>
      <c r="E2" s="200"/>
      <c r="F2" s="200"/>
      <c r="G2" s="205"/>
      <c r="H2" s="206"/>
      <c r="I2" s="206"/>
      <c r="J2" s="207"/>
      <c r="K2" s="206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0"/>
      <c r="AD2" s="200"/>
      <c r="AE2" s="200"/>
      <c r="AF2" s="200"/>
    </row>
    <row r="3" ht="15.75" customHeight="1">
      <c r="A3" s="200"/>
      <c r="B3" s="202" t="s">
        <v>25</v>
      </c>
      <c r="C3" s="208" t="s">
        <v>41</v>
      </c>
      <c r="D3" s="16"/>
      <c r="E3" s="200"/>
      <c r="F3" s="209"/>
      <c r="G3" s="210"/>
      <c r="H3" s="200"/>
      <c r="I3" s="200"/>
      <c r="J3" s="211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200"/>
    </row>
    <row r="4" ht="15.75" customHeight="1">
      <c r="A4" s="200"/>
      <c r="B4" s="202" t="s">
        <v>27</v>
      </c>
      <c r="C4" s="307">
        <f>VLOOKUP(C2,'Parámetros'!$A$118:$B$124,2,0)*IF(C3="Nómina",1.38522,IF(C3="Prestación de Servicios",1,1.15))</f>
        <v>0.1177437</v>
      </c>
      <c r="D4" s="16"/>
      <c r="E4" s="200"/>
      <c r="H4" s="200"/>
      <c r="I4" s="200"/>
      <c r="J4" s="211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</row>
    <row r="5" ht="15.75" customHeight="1">
      <c r="A5" s="200"/>
      <c r="B5" s="202" t="s">
        <v>28</v>
      </c>
      <c r="C5" s="218">
        <v>0.0</v>
      </c>
      <c r="D5" s="16"/>
      <c r="F5" s="219" t="s">
        <v>155</v>
      </c>
      <c r="G5" s="220">
        <f>VLOOKUP($C$2,'Parámetros'!$A$118:$D$124,3,0)</f>
        <v>0.3</v>
      </c>
      <c r="I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</row>
    <row r="6" ht="15.75" customHeight="1">
      <c r="A6" s="200"/>
      <c r="B6" s="202" t="s">
        <v>156</v>
      </c>
      <c r="C6" s="218">
        <v>0.0</v>
      </c>
      <c r="D6" s="16"/>
      <c r="F6" s="221" t="str">
        <f>IF(D11&gt;=G5,"Dentro del margen","¡Por debajo del margen!")</f>
        <v>Dentro del margen</v>
      </c>
      <c r="I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0"/>
      <c r="AA6" s="200"/>
      <c r="AB6" s="200"/>
      <c r="AC6" s="200"/>
      <c r="AD6" s="200"/>
      <c r="AE6" s="200"/>
      <c r="AF6" s="200"/>
    </row>
    <row r="7" ht="15.75" customHeight="1">
      <c r="A7" s="200"/>
      <c r="B7" s="202" t="s">
        <v>157</v>
      </c>
      <c r="C7" s="222"/>
      <c r="D7" s="16"/>
      <c r="E7" s="200"/>
      <c r="H7" s="200"/>
      <c r="I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  <c r="AA7" s="200"/>
      <c r="AB7" s="200"/>
      <c r="AC7" s="200"/>
      <c r="AD7" s="200"/>
      <c r="AE7" s="200"/>
      <c r="AF7" s="200"/>
    </row>
    <row r="8" ht="15.75" customHeight="1">
      <c r="A8" s="200"/>
      <c r="B8" s="202" t="s">
        <v>158</v>
      </c>
      <c r="C8" s="208">
        <v>1.0</v>
      </c>
      <c r="D8" s="16"/>
      <c r="E8" s="200"/>
      <c r="H8" s="223"/>
      <c r="I8" s="223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</row>
    <row r="9" ht="15.75" customHeight="1">
      <c r="A9" s="200"/>
      <c r="B9" s="224"/>
      <c r="C9" s="16"/>
      <c r="D9" s="16"/>
      <c r="E9" s="200"/>
      <c r="F9" s="202" t="s">
        <v>44</v>
      </c>
      <c r="G9" s="225" t="s">
        <v>45</v>
      </c>
      <c r="I9" s="318" t="s">
        <v>193</v>
      </c>
      <c r="J9" s="319">
        <v>1.03E7</v>
      </c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200"/>
      <c r="AC9" s="200"/>
      <c r="AD9" s="200"/>
      <c r="AE9" s="200"/>
      <c r="AF9" s="200"/>
    </row>
    <row r="10" ht="13.5" customHeight="1">
      <c r="B10" s="226" t="s">
        <v>7</v>
      </c>
      <c r="C10" s="17" t="s">
        <v>6</v>
      </c>
      <c r="D10" s="227">
        <f>F10*C4</f>
        <v>1151708.4</v>
      </c>
      <c r="E10" s="228" t="s">
        <v>194</v>
      </c>
      <c r="F10" s="320">
        <f>((C54+C50+C52)/((1-D11-'Parámetros'!L8*C5)))*IF(C6=1,102.4%,1)</f>
        <v>9781486.4</v>
      </c>
      <c r="G10" s="321">
        <f>F10/'Parámetros'!$L$3</f>
        <v>2755.348282</v>
      </c>
      <c r="I10" s="322" t="s">
        <v>186</v>
      </c>
      <c r="J10" s="323">
        <f>C50+C52+C54</f>
        <v>5868891.84</v>
      </c>
      <c r="M10" s="23"/>
      <c r="N10" s="24"/>
      <c r="O10" s="24"/>
    </row>
    <row r="11" ht="15.0" customHeight="1">
      <c r="B11" s="27"/>
      <c r="C11" s="17" t="s">
        <v>9</v>
      </c>
      <c r="D11" s="231">
        <v>0.4</v>
      </c>
      <c r="E11" s="228" t="s">
        <v>195</v>
      </c>
      <c r="F11" s="320">
        <f>F10/C8</f>
        <v>9781486.4</v>
      </c>
      <c r="G11" s="321">
        <f>F11/'Parámetros'!$L$3</f>
        <v>2755.348282</v>
      </c>
      <c r="I11" s="324" t="s">
        <v>196</v>
      </c>
      <c r="J11" s="325">
        <f>J9-J10</f>
        <v>4431108.16</v>
      </c>
      <c r="M11" s="23"/>
      <c r="N11" s="24"/>
      <c r="O11" s="24"/>
    </row>
    <row r="12" ht="17.25" customHeight="1">
      <c r="B12" s="27"/>
      <c r="C12" s="17" t="s">
        <v>15</v>
      </c>
      <c r="D12" s="227">
        <f>F10*'Parámetros'!L5</f>
        <v>67492.25616</v>
      </c>
      <c r="E12" s="228" t="s">
        <v>197</v>
      </c>
      <c r="F12" s="320">
        <f>F10/SUM(D39:D45)</f>
        <v>54341.59111</v>
      </c>
      <c r="G12" s="321">
        <f>G10/SUM(D39:D45)</f>
        <v>15.30749045</v>
      </c>
      <c r="I12" s="326" t="s">
        <v>92</v>
      </c>
      <c r="J12" s="327">
        <f>J11/J9</f>
        <v>0.4302046757</v>
      </c>
      <c r="L12" s="22"/>
      <c r="O12" s="28"/>
      <c r="P12" s="28"/>
      <c r="Q12" s="28"/>
    </row>
    <row r="13" ht="14.25" customHeight="1">
      <c r="B13" s="43"/>
      <c r="C13" s="17" t="s">
        <v>18</v>
      </c>
      <c r="D13" s="240">
        <f>(F10-C55-D12-D10-C5*'Parámetros'!L8*F10)/F10</f>
        <v>0.2404787857</v>
      </c>
      <c r="G13" s="55"/>
      <c r="I13" s="324" t="s">
        <v>198</v>
      </c>
      <c r="J13" s="328">
        <f>D10</f>
        <v>1151708.4</v>
      </c>
      <c r="L13" s="32"/>
      <c r="M13" s="33"/>
      <c r="O13" s="28"/>
      <c r="P13" s="28"/>
      <c r="Q13" s="28"/>
    </row>
    <row r="14" ht="14.25" customHeight="1">
      <c r="D14" s="235"/>
      <c r="F14" s="236"/>
      <c r="G14" s="55"/>
      <c r="I14" s="329" t="s">
        <v>66</v>
      </c>
      <c r="J14" s="328">
        <f>D12</f>
        <v>67492.25616</v>
      </c>
      <c r="L14" s="32"/>
      <c r="M14" s="37"/>
      <c r="N14" s="38"/>
      <c r="O14" s="39"/>
    </row>
    <row r="15" ht="14.25" customHeight="1">
      <c r="F15" s="236"/>
      <c r="G15" s="55"/>
      <c r="I15" s="324" t="s">
        <v>199</v>
      </c>
      <c r="J15" s="330">
        <f>C53</f>
        <v>341153.9322</v>
      </c>
      <c r="L15" s="22"/>
    </row>
    <row r="16" ht="15.75" customHeight="1">
      <c r="B16" s="226" t="s">
        <v>22</v>
      </c>
      <c r="C16" s="17" t="s">
        <v>6</v>
      </c>
      <c r="D16" s="227">
        <f>F16*C4</f>
        <v>1538201.485</v>
      </c>
      <c r="E16" s="228" t="s">
        <v>194</v>
      </c>
      <c r="F16" s="320">
        <f>+(C55/(1-C4-D17-'Parámetros'!L5-C5*'Parámetros'!L8))*IF(C6=1,102.4%,1)</f>
        <v>13063981.21</v>
      </c>
      <c r="G16" s="321">
        <f>F16/'Parámetros'!L3</f>
        <v>3679.994708</v>
      </c>
      <c r="I16" s="324" t="s">
        <v>200</v>
      </c>
      <c r="J16" s="325">
        <f>J11-J13-J14-J15</f>
        <v>2870753.571</v>
      </c>
      <c r="L16" s="22"/>
    </row>
    <row r="17" ht="16.5" customHeight="1">
      <c r="B17" s="27"/>
      <c r="C17" s="17" t="s">
        <v>18</v>
      </c>
      <c r="D17" s="231">
        <v>0.4</v>
      </c>
      <c r="E17" s="228" t="s">
        <v>195</v>
      </c>
      <c r="F17" s="320">
        <f>F16/C8</f>
        <v>13063981.21</v>
      </c>
      <c r="G17" s="321">
        <f>G16/C8</f>
        <v>3679.994708</v>
      </c>
      <c r="I17" s="326" t="s">
        <v>201</v>
      </c>
      <c r="J17" s="327">
        <f>J16/J9</f>
        <v>0.278713939</v>
      </c>
      <c r="L17" s="32"/>
      <c r="M17" s="33"/>
    </row>
    <row r="18" ht="17.25" customHeight="1">
      <c r="B18" s="27"/>
      <c r="C18" s="17" t="s">
        <v>15</v>
      </c>
      <c r="D18" s="227">
        <f>F16*'Parámetros'!L5</f>
        <v>90141.47036</v>
      </c>
      <c r="E18" s="228" t="s">
        <v>197</v>
      </c>
      <c r="F18" s="320">
        <f>F16/SUM(D39:D45)</f>
        <v>72577.6734</v>
      </c>
      <c r="G18" s="321">
        <f>G16/SUM(D39:D45)</f>
        <v>20.44441504</v>
      </c>
      <c r="L18" s="22"/>
      <c r="M18" s="55"/>
    </row>
    <row r="19" ht="14.25" customHeight="1">
      <c r="B19" s="43"/>
      <c r="C19" s="17" t="s">
        <v>9</v>
      </c>
      <c r="D19" s="240">
        <f>(F16-C50-C52-C54-C5*'Parámetros'!L8*F16)/F16</f>
        <v>0.5507577863</v>
      </c>
      <c r="E19" s="241"/>
      <c r="G19" s="55"/>
    </row>
    <row r="20" ht="14.25" customHeight="1">
      <c r="G20" s="55"/>
    </row>
    <row r="21" ht="14.25" customHeight="1">
      <c r="B21" s="243" t="str">
        <f>'Parámetros'!B149</f>
        <v>Considerar como mínimo por cada Dev: 
 PM:33%, QA:20%, Diseño:10%</v>
      </c>
      <c r="C21" s="244"/>
      <c r="G21" s="55"/>
      <c r="M21" s="245"/>
    </row>
    <row r="22" ht="15.75" customHeight="1">
      <c r="B22" s="246"/>
      <c r="C22" s="244"/>
      <c r="G22" s="55"/>
    </row>
    <row r="23" ht="15.75" customHeight="1">
      <c r="E23" s="247">
        <f>SUM(E25:E32)</f>
        <v>1</v>
      </c>
      <c r="G23" s="248"/>
    </row>
    <row r="24" ht="14.25" customHeight="1">
      <c r="B24" s="249" t="s">
        <v>31</v>
      </c>
      <c r="C24" s="249" t="s">
        <v>32</v>
      </c>
      <c r="D24" s="249" t="s">
        <v>33</v>
      </c>
      <c r="E24" s="250" t="s">
        <v>35</v>
      </c>
      <c r="F24" s="250" t="s">
        <v>164</v>
      </c>
      <c r="G24" s="250" t="s">
        <v>165</v>
      </c>
      <c r="H24" s="250" t="s">
        <v>37</v>
      </c>
      <c r="I24" s="146"/>
      <c r="J24" s="146"/>
      <c r="L24" s="67"/>
    </row>
    <row r="25" ht="14.25" customHeight="1">
      <c r="A25" s="251">
        <f>IFERROR(__xludf.DUMMYFUNCTION("COUNTIF(SPLIT(B25,"" ""),""Developer"")"),1.0)</f>
        <v>1</v>
      </c>
      <c r="B25" s="252" t="s">
        <v>40</v>
      </c>
      <c r="C25" s="68">
        <v>4040000.0</v>
      </c>
      <c r="D25" s="208" t="s">
        <v>41</v>
      </c>
      <c r="E25" s="253">
        <v>1.0</v>
      </c>
      <c r="F25" s="68">
        <f t="shared" ref="F25:F32" si="1">+IFERROR(IF(D25="Nómina",C25*1.38352,C25),"")*E25*105%</f>
        <v>5868891.84</v>
      </c>
      <c r="G25" s="68">
        <f t="shared" ref="G25:G32" si="2">F25*C$8</f>
        <v>5868891.84</v>
      </c>
      <c r="H25" s="254">
        <f>F25/(AVERAGE('Parámetros'!$F$5:$F$6)+$F$33)</f>
        <v>0.01727030278</v>
      </c>
      <c r="I25" s="146"/>
      <c r="J25" s="146"/>
      <c r="L25" s="73"/>
    </row>
    <row r="26" ht="14.25" customHeight="1">
      <c r="A26" s="251">
        <f>IFERROR(__xludf.DUMMYFUNCTION("COUNTIF(SPLIT(B26,"" ""),""Developer"")"),0.0)</f>
        <v>0</v>
      </c>
      <c r="B26" s="255"/>
      <c r="C26" s="68" t="str">
        <f>IFERROR(VLOOKUP(B26,'Parámetros'!A$1:B113,2, FALSE),"")</f>
        <v/>
      </c>
      <c r="D26" s="208" t="s">
        <v>41</v>
      </c>
      <c r="E26" s="256"/>
      <c r="F26" s="68">
        <f t="shared" si="1"/>
        <v>0</v>
      </c>
      <c r="G26" s="68">
        <f t="shared" si="2"/>
        <v>0</v>
      </c>
      <c r="H26" s="254">
        <f>G26/(AVERAGE('Parámetros'!$F$5:$F$6)+$F$33)</f>
        <v>0</v>
      </c>
      <c r="I26" s="146"/>
      <c r="J26" s="146"/>
      <c r="L26" s="73"/>
      <c r="R26" s="74"/>
    </row>
    <row r="27" ht="14.25" customHeight="1">
      <c r="A27" s="251">
        <f>IFERROR(__xludf.DUMMYFUNCTION("COUNTIF(SPLIT(B27,"" ""),""Developer"")"),0.0)</f>
        <v>0</v>
      </c>
      <c r="B27" s="255"/>
      <c r="C27" s="68" t="str">
        <f>IFERROR(VLOOKUP(B27,'Parámetros'!A$1:B113,2, FALSE),"")</f>
        <v/>
      </c>
      <c r="D27" s="208" t="s">
        <v>41</v>
      </c>
      <c r="E27" s="256"/>
      <c r="F27" s="68">
        <f t="shared" si="1"/>
        <v>0</v>
      </c>
      <c r="G27" s="68">
        <f t="shared" si="2"/>
        <v>0</v>
      </c>
      <c r="H27" s="254">
        <f>G27/(AVERAGE('Parámetros'!$F$5:$F$6)+$F$33)</f>
        <v>0</v>
      </c>
      <c r="I27" s="146"/>
      <c r="J27" s="146"/>
      <c r="L27" s="73"/>
    </row>
    <row r="28" ht="14.25" customHeight="1">
      <c r="A28" s="251">
        <f>IFERROR(__xludf.DUMMYFUNCTION("COUNTIF(SPLIT(B28,"" ""),""Developer"")"),0.0)</f>
        <v>0</v>
      </c>
      <c r="B28" s="255"/>
      <c r="C28" s="68" t="str">
        <f>IFERROR(VLOOKUP(B28,'Parámetros'!A$1:B114,2, FALSE),"")</f>
        <v/>
      </c>
      <c r="D28" s="208" t="s">
        <v>41</v>
      </c>
      <c r="E28" s="257"/>
      <c r="F28" s="68">
        <f t="shared" si="1"/>
        <v>0</v>
      </c>
      <c r="G28" s="68">
        <f t="shared" si="2"/>
        <v>0</v>
      </c>
      <c r="H28" s="254">
        <f>G28/(AVERAGE('Parámetros'!$F$5:$F$6)+$F$33)</f>
        <v>0</v>
      </c>
      <c r="I28" s="146"/>
      <c r="J28" s="146"/>
      <c r="L28" s="73"/>
    </row>
    <row r="29" ht="14.25" customHeight="1">
      <c r="A29" s="251">
        <f>IFERROR(__xludf.DUMMYFUNCTION("COUNTIF(SPLIT(B29,"" ""),""Developer"")"),0.0)</f>
        <v>0</v>
      </c>
      <c r="B29" s="255"/>
      <c r="C29" s="68" t="str">
        <f>IFERROR(VLOOKUP(B29,'Parámetros'!A$1:B115,2, FALSE),"")</f>
        <v/>
      </c>
      <c r="D29" s="208" t="s">
        <v>41</v>
      </c>
      <c r="E29" s="256"/>
      <c r="F29" s="68">
        <f t="shared" si="1"/>
        <v>0</v>
      </c>
      <c r="G29" s="68">
        <f t="shared" si="2"/>
        <v>0</v>
      </c>
      <c r="H29" s="254">
        <f>G29/(AVERAGE('Parámetros'!$F$5:$F$6)+$F$33)</f>
        <v>0</v>
      </c>
      <c r="I29" s="146"/>
      <c r="J29" s="146"/>
      <c r="L29" s="73"/>
    </row>
    <row r="30" ht="14.25" customHeight="1">
      <c r="A30" s="251">
        <f>IFERROR(__xludf.DUMMYFUNCTION("COUNTIF(SPLIT(B30,"" ""),""Developer"")"),0.0)</f>
        <v>0</v>
      </c>
      <c r="B30" s="304"/>
      <c r="C30" s="68" t="str">
        <f>IFERROR(VLOOKUP(B30,'Parámetros'!A$1:B116,2, FALSE),"")</f>
        <v/>
      </c>
      <c r="D30" s="208" t="s">
        <v>41</v>
      </c>
      <c r="E30" s="258"/>
      <c r="F30" s="68">
        <f t="shared" si="1"/>
        <v>0</v>
      </c>
      <c r="G30" s="68">
        <f t="shared" si="2"/>
        <v>0</v>
      </c>
      <c r="H30" s="254">
        <f>G30/(AVERAGE('Parámetros'!$F$5:$F$6)+$F$33)</f>
        <v>0</v>
      </c>
      <c r="I30" s="146"/>
      <c r="J30" s="146"/>
      <c r="K30" s="146"/>
    </row>
    <row r="31" ht="14.25" customHeight="1">
      <c r="A31" s="251">
        <f>IFERROR(__xludf.DUMMYFUNCTION("COUNTIF(SPLIT(B31,"" ""),""Developer"")"),0.0)</f>
        <v>0</v>
      </c>
      <c r="B31" s="304"/>
      <c r="C31" s="68" t="str">
        <f>IFERROR(VLOOKUP(B31,'Parámetros'!A$1:B117,2, FALSE),"")</f>
        <v/>
      </c>
      <c r="D31" s="208" t="s">
        <v>41</v>
      </c>
      <c r="E31" s="258"/>
      <c r="F31" s="68">
        <f t="shared" si="1"/>
        <v>0</v>
      </c>
      <c r="G31" s="68">
        <f t="shared" si="2"/>
        <v>0</v>
      </c>
      <c r="H31" s="254">
        <f>G31/(AVERAGE('Parámetros'!$F$5:$F$6)+$F$33)</f>
        <v>0</v>
      </c>
      <c r="I31" s="146"/>
      <c r="J31" s="146"/>
      <c r="K31" s="146"/>
    </row>
    <row r="32" ht="14.25" customHeight="1">
      <c r="A32" s="251">
        <f>IFERROR(__xludf.DUMMYFUNCTION("COUNTIF(SPLIT(B32,"" ""),""Developer"")"),0.0)</f>
        <v>0</v>
      </c>
      <c r="B32" s="304"/>
      <c r="C32" s="68" t="str">
        <f>iferror(VLOOKUP(B32,'Parámetros'!A$1:B127,2, FALSE),"")</f>
        <v/>
      </c>
      <c r="D32" s="208" t="s">
        <v>41</v>
      </c>
      <c r="E32" s="258"/>
      <c r="F32" s="68">
        <f t="shared" si="1"/>
        <v>0</v>
      </c>
      <c r="G32" s="68">
        <f t="shared" si="2"/>
        <v>0</v>
      </c>
      <c r="H32" s="254">
        <f>G32/(AVERAGE('Parámetros'!$F$5:$F$6)+$F$33)</f>
        <v>0</v>
      </c>
      <c r="I32" s="146"/>
      <c r="J32" s="146"/>
      <c r="K32" s="146"/>
    </row>
    <row r="33" ht="14.25" customHeight="1">
      <c r="F33" s="259">
        <f t="shared" ref="F33:H33" si="3">SUM(F25:F32)</f>
        <v>5868891.84</v>
      </c>
      <c r="G33" s="259">
        <f t="shared" si="3"/>
        <v>5868891.84</v>
      </c>
      <c r="H33" s="260">
        <f t="shared" si="3"/>
        <v>0.01727030278</v>
      </c>
      <c r="M33" s="90"/>
      <c r="N33" s="91"/>
      <c r="O33" s="92"/>
      <c r="P33" s="93"/>
      <c r="Q33" s="94"/>
    </row>
    <row r="34" ht="14.25" customHeight="1">
      <c r="G34" s="55"/>
    </row>
    <row r="35" ht="14.25" customHeight="1">
      <c r="G35" s="55"/>
    </row>
    <row r="36" ht="14.25" customHeight="1">
      <c r="C36" s="261" t="s">
        <v>9</v>
      </c>
      <c r="D36" s="261" t="s">
        <v>45</v>
      </c>
      <c r="G36" s="55"/>
    </row>
    <row r="37" ht="14.25" customHeight="1">
      <c r="F37" s="97"/>
      <c r="G37" s="55"/>
    </row>
    <row r="38" ht="14.25" customHeight="1">
      <c r="B38" s="262" t="s">
        <v>31</v>
      </c>
      <c r="C38" s="261" t="s">
        <v>35</v>
      </c>
      <c r="D38" s="291" t="s">
        <v>48</v>
      </c>
      <c r="E38" s="292" t="s">
        <v>50</v>
      </c>
      <c r="F38" s="292" t="s">
        <v>159</v>
      </c>
      <c r="G38" s="55"/>
    </row>
    <row r="39" ht="14.25" customHeight="1">
      <c r="B39" s="264" t="str">
        <f t="shared" ref="B39:B45" si="4">B25</f>
        <v>Software Developer Junior Nivel 1</v>
      </c>
      <c r="C39" s="265">
        <f t="shared" ref="C39:C45" si="5">E25</f>
        <v>1</v>
      </c>
      <c r="D39" s="268">
        <f t="shared" ref="D39:D45" si="6">C39*180</f>
        <v>180</v>
      </c>
      <c r="E39" s="267">
        <f>IFERROR((IF($C$36="Gross Margin",F25/$F$33*$F$10,IF($C$36="Net Margin",F25/$F$33*$F$16,"Error")))/D39,"")/IF($D$36="USD",'Parámetros'!$L$3,1)</f>
        <v>15.30749045</v>
      </c>
      <c r="F39" s="267">
        <f t="shared" ref="F39:F45" si="7">E39*D39</f>
        <v>2755.348282</v>
      </c>
      <c r="G39" s="55"/>
    </row>
    <row r="40" ht="14.25" customHeight="1">
      <c r="B40" s="264" t="str">
        <f t="shared" si="4"/>
        <v/>
      </c>
      <c r="C40" s="265" t="str">
        <f t="shared" si="5"/>
        <v/>
      </c>
      <c r="D40" s="268">
        <f t="shared" si="6"/>
        <v>0</v>
      </c>
      <c r="E40" s="267">
        <f>IFERROR((IF($C$36="Gross Margin",F26/$F$33*$F$10,IF($C$36="Net Margin",F26/$F$33*$F$16,"Error")))/D40,"")/IF($D$36="USD",'Parámetros'!$L$3,1)</f>
        <v>0</v>
      </c>
      <c r="F40" s="267">
        <f t="shared" si="7"/>
        <v>0</v>
      </c>
      <c r="G40" s="55"/>
    </row>
    <row r="41" ht="14.25" customHeight="1">
      <c r="B41" s="264" t="str">
        <f t="shared" si="4"/>
        <v/>
      </c>
      <c r="C41" s="265" t="str">
        <f t="shared" si="5"/>
        <v/>
      </c>
      <c r="D41" s="268">
        <f t="shared" si="6"/>
        <v>0</v>
      </c>
      <c r="E41" s="267">
        <f>IFERROR((IF($C$36="Gross Margin",F27/$F$33*$F$10,IF($C$36="Net Margin",F27/$F$33*$F$16,"Error")))/D41,"")/IF($D$36="USD",'Parámetros'!$L$3,1)</f>
        <v>0</v>
      </c>
      <c r="F41" s="267">
        <f t="shared" si="7"/>
        <v>0</v>
      </c>
      <c r="G41" s="23"/>
    </row>
    <row r="42" ht="14.25" customHeight="1">
      <c r="B42" s="264" t="str">
        <f t="shared" si="4"/>
        <v/>
      </c>
      <c r="C42" s="265" t="str">
        <f t="shared" si="5"/>
        <v/>
      </c>
      <c r="D42" s="268">
        <f t="shared" si="6"/>
        <v>0</v>
      </c>
      <c r="E42" s="267">
        <f>IFERROR((IF($C$36="Gross Margin",F28/$F$33*$F$10,IF($C$36="Net Margin",F28/$F$33*$F$16,"Error")))/D42,"")/IF($D$36="USD",'Parámetros'!$L$3,1)</f>
        <v>0</v>
      </c>
      <c r="F42" s="267">
        <f t="shared" si="7"/>
        <v>0</v>
      </c>
      <c r="G42" s="23"/>
    </row>
    <row r="43" ht="14.25" customHeight="1">
      <c r="B43" s="264" t="str">
        <f t="shared" si="4"/>
        <v/>
      </c>
      <c r="C43" s="265" t="str">
        <f t="shared" si="5"/>
        <v/>
      </c>
      <c r="D43" s="268">
        <f t="shared" si="6"/>
        <v>0</v>
      </c>
      <c r="E43" s="267">
        <f>IFERROR((IF($C$36="Gross Margin",F29/$F$33*$F$10,IF($C$36="Net Margin",F29/$F$33*$F$16,"Error")))/D43,"")/IF($D$36="USD",'Parámetros'!$L$3,1)</f>
        <v>0</v>
      </c>
      <c r="F43" s="267">
        <f t="shared" si="7"/>
        <v>0</v>
      </c>
      <c r="G43" s="55"/>
    </row>
    <row r="44" ht="14.25" customHeight="1">
      <c r="B44" s="264" t="str">
        <f t="shared" si="4"/>
        <v/>
      </c>
      <c r="C44" s="265" t="str">
        <f t="shared" si="5"/>
        <v/>
      </c>
      <c r="D44" s="268">
        <f t="shared" si="6"/>
        <v>0</v>
      </c>
      <c r="E44" s="267">
        <f>IFERROR((IF($C$36="Gross Margin",F30/$F$33*$F$10,IF($C$36="Net Margin",F30/$F$33*$F$16,"Error")))/D44,"")/IF($D$36="USD",'Parámetros'!$L$3,1)</f>
        <v>0</v>
      </c>
      <c r="F44" s="267">
        <f t="shared" si="7"/>
        <v>0</v>
      </c>
      <c r="G44" s="55"/>
    </row>
    <row r="45" ht="14.25" customHeight="1">
      <c r="B45" s="264" t="str">
        <f t="shared" si="4"/>
        <v/>
      </c>
      <c r="C45" s="265" t="str">
        <f t="shared" si="5"/>
        <v/>
      </c>
      <c r="D45" s="268">
        <f t="shared" si="6"/>
        <v>0</v>
      </c>
      <c r="E45" s="267">
        <f>IFERROR((IF($C$36="Gross Margin",F31/$F$33*$F$10,IF($C$36="Net Margin",F31/$F$33*$F$16,"Error")))/D45,"")/IF($D$36="USD",'Parámetros'!$L$3,1)</f>
        <v>0</v>
      </c>
      <c r="F45" s="267">
        <f t="shared" si="7"/>
        <v>0</v>
      </c>
      <c r="G45" s="55"/>
    </row>
    <row r="46" ht="14.25" customHeight="1">
      <c r="G46" s="55"/>
    </row>
    <row r="47" ht="14.25" customHeight="1">
      <c r="G47" s="55"/>
    </row>
    <row r="48" ht="14.25" customHeight="1">
      <c r="D48" s="271"/>
      <c r="E48" s="271"/>
      <c r="G48" s="55"/>
    </row>
    <row r="49" ht="14.25" customHeight="1">
      <c r="B49" s="272" t="s">
        <v>11</v>
      </c>
      <c r="C49" s="272" t="s">
        <v>52</v>
      </c>
      <c r="D49" s="273" t="s">
        <v>116</v>
      </c>
      <c r="E49" s="274"/>
      <c r="G49" s="55"/>
    </row>
    <row r="50" ht="14.25" customHeight="1" outlineLevel="1">
      <c r="A50" s="33"/>
      <c r="B50" s="275" t="s">
        <v>14</v>
      </c>
      <c r="C50" s="276">
        <f>G33</f>
        <v>5868891.84</v>
      </c>
      <c r="D50" s="276">
        <f t="shared" ref="D50:D55" si="8">C50/C$8</f>
        <v>5868891.84</v>
      </c>
      <c r="E50" s="277"/>
      <c r="F50" s="33"/>
      <c r="G50" s="37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</row>
    <row r="51" ht="14.25" customHeight="1" outlineLevel="1">
      <c r="A51" s="33"/>
      <c r="B51" s="278" t="s">
        <v>17</v>
      </c>
      <c r="C51" s="279">
        <f>C53+C54+C52</f>
        <v>341153.9322</v>
      </c>
      <c r="D51" s="279">
        <f t="shared" si="8"/>
        <v>341153.9322</v>
      </c>
      <c r="E51" s="277"/>
      <c r="F51" s="33"/>
      <c r="G51" s="37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</row>
    <row r="52" ht="14.25" customHeight="1" outlineLevel="1">
      <c r="B52" s="280" t="s">
        <v>19</v>
      </c>
      <c r="C52" s="70"/>
      <c r="D52" s="70">
        <f t="shared" si="8"/>
        <v>0</v>
      </c>
      <c r="E52" s="271"/>
      <c r="G52" s="55"/>
    </row>
    <row r="53" ht="14.25" customHeight="1" outlineLevel="1">
      <c r="B53" s="280" t="s">
        <v>20</v>
      </c>
      <c r="C53" s="281">
        <f>H33*AVERAGE('Parámetros'!G6:G7)*IF(C2="Network",15%,100%)*IF(C2="Enterprise",40%,100%)</f>
        <v>341153.9322</v>
      </c>
      <c r="D53" s="281">
        <f t="shared" si="8"/>
        <v>341153.9322</v>
      </c>
      <c r="E53" s="282"/>
      <c r="G53" s="55"/>
    </row>
    <row r="54" ht="14.25" customHeight="1" outlineLevel="1">
      <c r="B54" s="280" t="s">
        <v>21</v>
      </c>
      <c r="C54" s="70"/>
      <c r="D54" s="70">
        <f t="shared" si="8"/>
        <v>0</v>
      </c>
      <c r="E54" s="282"/>
      <c r="G54" s="55"/>
    </row>
    <row r="55" ht="14.25" customHeight="1">
      <c r="B55" s="283" t="s">
        <v>23</v>
      </c>
      <c r="C55" s="284">
        <f>C50+C51</f>
        <v>6210045.772</v>
      </c>
      <c r="D55" s="284">
        <f t="shared" si="8"/>
        <v>6210045.772</v>
      </c>
      <c r="E55" s="277"/>
      <c r="G55" s="55"/>
    </row>
    <row r="56" ht="14.25" customHeight="1">
      <c r="B56" s="285" t="s">
        <v>34</v>
      </c>
      <c r="C56" s="286">
        <f t="shared" ref="C56:D56" si="9">C50+C52+C54</f>
        <v>5868891.84</v>
      </c>
      <c r="D56" s="286">
        <f t="shared" si="9"/>
        <v>5868891.84</v>
      </c>
      <c r="E56" s="287"/>
      <c r="G56" s="55"/>
    </row>
    <row r="57">
      <c r="D57" s="271"/>
      <c r="E57" s="271"/>
      <c r="G57" s="55"/>
    </row>
    <row r="58" ht="14.25" customHeight="1">
      <c r="G58" s="55"/>
    </row>
    <row r="59" ht="14.25" customHeight="1">
      <c r="G59" s="55"/>
    </row>
    <row r="60" ht="14.25" customHeight="1">
      <c r="G60" s="55"/>
    </row>
    <row r="61" ht="14.25" customHeight="1">
      <c r="G61" s="55"/>
    </row>
    <row r="62" ht="14.25" customHeight="1">
      <c r="G62" s="55"/>
    </row>
    <row r="63" ht="14.25" customHeight="1">
      <c r="G63" s="55"/>
    </row>
    <row r="64" ht="14.25" customHeight="1">
      <c r="G64" s="55"/>
    </row>
    <row r="65" ht="14.25" customHeight="1">
      <c r="G65" s="55"/>
    </row>
    <row r="66" ht="14.25" customHeight="1">
      <c r="G66" s="55"/>
    </row>
    <row r="67" ht="14.25" customHeight="1">
      <c r="G67" s="55"/>
    </row>
    <row r="68" ht="14.25" customHeight="1">
      <c r="G68" s="55"/>
    </row>
    <row r="69" ht="14.25" customHeight="1">
      <c r="G69" s="55"/>
    </row>
    <row r="70" ht="14.25" customHeight="1">
      <c r="G70" s="55"/>
    </row>
    <row r="71" ht="14.25" customHeight="1">
      <c r="G71" s="55"/>
    </row>
    <row r="72" ht="14.25" customHeight="1">
      <c r="G72" s="55"/>
    </row>
    <row r="73" ht="14.25" customHeight="1">
      <c r="G73" s="55"/>
    </row>
    <row r="74" ht="14.25" customHeight="1">
      <c r="G74" s="55"/>
    </row>
    <row r="75" ht="14.25" customHeight="1">
      <c r="G75" s="55"/>
    </row>
    <row r="76" ht="14.25" customHeight="1">
      <c r="G76" s="55"/>
    </row>
    <row r="77" ht="14.25" customHeight="1">
      <c r="G77" s="55"/>
    </row>
    <row r="78" ht="14.25" customHeight="1">
      <c r="G78" s="55"/>
    </row>
    <row r="79" ht="14.25" customHeight="1">
      <c r="G79" s="55"/>
    </row>
    <row r="80" ht="14.25" customHeight="1">
      <c r="G80" s="55"/>
    </row>
    <row r="81" ht="14.25" customHeight="1">
      <c r="G81" s="55"/>
    </row>
    <row r="82" ht="14.25" customHeight="1">
      <c r="G82" s="55"/>
    </row>
    <row r="83" ht="14.25" customHeight="1">
      <c r="G83" s="55"/>
    </row>
    <row r="84" ht="14.25" customHeight="1">
      <c r="G84" s="55"/>
    </row>
    <row r="85" ht="14.25" customHeight="1">
      <c r="G85" s="55"/>
    </row>
    <row r="86" ht="14.25" customHeight="1">
      <c r="G86" s="55"/>
    </row>
    <row r="87" ht="14.25" customHeight="1">
      <c r="G87" s="55"/>
    </row>
    <row r="88" ht="14.25" customHeight="1">
      <c r="G88" s="55"/>
    </row>
    <row r="89" ht="14.25" customHeight="1">
      <c r="G89" s="55"/>
    </row>
    <row r="90" ht="14.25" customHeight="1">
      <c r="G90" s="55"/>
    </row>
    <row r="91" ht="14.25" customHeight="1">
      <c r="G91" s="55"/>
    </row>
    <row r="92" ht="14.25" customHeight="1">
      <c r="G92" s="55"/>
    </row>
    <row r="93" ht="14.25" customHeight="1">
      <c r="G93" s="55"/>
    </row>
    <row r="94" ht="14.25" customHeight="1">
      <c r="G94" s="55"/>
    </row>
    <row r="95" ht="14.25" customHeight="1">
      <c r="G95" s="55"/>
    </row>
    <row r="96" ht="14.25" customHeight="1">
      <c r="G96" s="55"/>
    </row>
    <row r="97" ht="14.25" customHeight="1">
      <c r="G97" s="55"/>
    </row>
    <row r="98" ht="14.25" customHeight="1">
      <c r="G98" s="55"/>
    </row>
    <row r="99" ht="14.25" customHeight="1">
      <c r="G99" s="55"/>
    </row>
    <row r="100" ht="14.25" customHeight="1">
      <c r="G100" s="55"/>
    </row>
    <row r="101" ht="14.25" customHeight="1">
      <c r="G101" s="55"/>
    </row>
    <row r="102" ht="14.25" customHeight="1">
      <c r="G102" s="55"/>
    </row>
    <row r="103" ht="14.25" customHeight="1">
      <c r="G103" s="55"/>
    </row>
    <row r="104" ht="14.25" customHeight="1">
      <c r="G104" s="55"/>
    </row>
    <row r="105" ht="14.25" customHeight="1">
      <c r="G105" s="55"/>
    </row>
    <row r="106" ht="14.25" customHeight="1">
      <c r="G106" s="55"/>
    </row>
    <row r="107" ht="14.25" customHeight="1">
      <c r="G107" s="55"/>
    </row>
    <row r="108" ht="14.25" customHeight="1">
      <c r="G108" s="55"/>
    </row>
    <row r="109" ht="14.25" customHeight="1">
      <c r="G109" s="55"/>
    </row>
    <row r="110" ht="14.25" customHeight="1">
      <c r="G110" s="55"/>
    </row>
    <row r="111" ht="14.25" customHeight="1">
      <c r="G111" s="55"/>
    </row>
    <row r="112" ht="14.25" customHeight="1">
      <c r="G112" s="55"/>
    </row>
    <row r="113" ht="14.25" customHeight="1">
      <c r="G113" s="55"/>
    </row>
    <row r="114" ht="14.25" customHeight="1">
      <c r="G114" s="55"/>
    </row>
    <row r="115" ht="14.25" customHeight="1">
      <c r="G115" s="55"/>
    </row>
    <row r="116" ht="14.25" customHeight="1">
      <c r="G116" s="55"/>
    </row>
    <row r="117" ht="14.25" customHeight="1">
      <c r="G117" s="55"/>
    </row>
    <row r="118" ht="14.25" customHeight="1">
      <c r="G118" s="55"/>
    </row>
    <row r="119" ht="14.25" customHeight="1">
      <c r="G119" s="55"/>
    </row>
    <row r="120" ht="14.25" customHeight="1">
      <c r="G120" s="55"/>
    </row>
    <row r="121" ht="14.25" customHeight="1">
      <c r="G121" s="55"/>
    </row>
    <row r="122" ht="14.25" customHeight="1">
      <c r="G122" s="55"/>
    </row>
    <row r="123" ht="14.25" customHeight="1">
      <c r="G123" s="55"/>
    </row>
    <row r="124" ht="14.25" customHeight="1">
      <c r="G124" s="55"/>
    </row>
    <row r="125" ht="14.25" customHeight="1">
      <c r="G125" s="55"/>
    </row>
    <row r="126" ht="14.25" customHeight="1">
      <c r="G126" s="55"/>
    </row>
    <row r="127" ht="14.25" customHeight="1">
      <c r="G127" s="55"/>
    </row>
    <row r="128" ht="14.25" customHeight="1">
      <c r="G128" s="55"/>
    </row>
    <row r="129" ht="14.25" customHeight="1">
      <c r="G129" s="55"/>
    </row>
    <row r="130" ht="14.25" customHeight="1">
      <c r="G130" s="55"/>
    </row>
    <row r="131" ht="14.25" customHeight="1">
      <c r="G131" s="55"/>
    </row>
    <row r="132" ht="14.25" customHeight="1">
      <c r="G132" s="55"/>
    </row>
    <row r="133" ht="14.25" customHeight="1">
      <c r="G133" s="55"/>
    </row>
    <row r="134" ht="14.25" customHeight="1">
      <c r="G134" s="55"/>
    </row>
    <row r="135" ht="14.25" customHeight="1">
      <c r="G135" s="55"/>
    </row>
    <row r="136" ht="14.25" customHeight="1">
      <c r="G136" s="55"/>
    </row>
    <row r="137" ht="14.25" customHeight="1">
      <c r="G137" s="55"/>
    </row>
    <row r="138" ht="14.25" customHeight="1">
      <c r="G138" s="55"/>
    </row>
    <row r="139" ht="14.25" customHeight="1">
      <c r="G139" s="55"/>
    </row>
    <row r="140" ht="14.25" customHeight="1">
      <c r="G140" s="55"/>
    </row>
    <row r="141" ht="14.25" customHeight="1">
      <c r="G141" s="55"/>
    </row>
    <row r="142" ht="14.25" customHeight="1">
      <c r="G142" s="55"/>
    </row>
    <row r="143" ht="14.25" customHeight="1">
      <c r="G143" s="55"/>
    </row>
    <row r="144" ht="14.25" customHeight="1">
      <c r="G144" s="55"/>
    </row>
    <row r="145" ht="14.25" customHeight="1">
      <c r="G145" s="55"/>
    </row>
    <row r="146" ht="14.25" customHeight="1">
      <c r="G146" s="55"/>
    </row>
    <row r="147" ht="14.25" customHeight="1">
      <c r="G147" s="55"/>
    </row>
    <row r="148" ht="14.25" customHeight="1">
      <c r="G148" s="55"/>
    </row>
    <row r="149" ht="14.25" customHeight="1">
      <c r="G149" s="55"/>
    </row>
    <row r="150" ht="14.25" customHeight="1">
      <c r="G150" s="55"/>
    </row>
    <row r="151" ht="14.25" customHeight="1">
      <c r="G151" s="55"/>
    </row>
    <row r="152" ht="14.25" customHeight="1">
      <c r="G152" s="55"/>
    </row>
    <row r="153" ht="14.25" customHeight="1">
      <c r="G153" s="55"/>
    </row>
    <row r="154" ht="14.25" customHeight="1">
      <c r="G154" s="55"/>
    </row>
    <row r="155" ht="14.25" customHeight="1">
      <c r="G155" s="55"/>
    </row>
    <row r="156" ht="14.25" customHeight="1">
      <c r="G156" s="55"/>
    </row>
    <row r="157" ht="14.25" customHeight="1">
      <c r="G157" s="55"/>
    </row>
    <row r="158" ht="14.25" customHeight="1">
      <c r="G158" s="55"/>
    </row>
    <row r="159" ht="14.25" customHeight="1">
      <c r="G159" s="55"/>
    </row>
    <row r="160" ht="14.25" customHeight="1">
      <c r="G160" s="55"/>
    </row>
    <row r="161" ht="14.25" customHeight="1">
      <c r="G161" s="55"/>
    </row>
    <row r="162" ht="14.25" customHeight="1">
      <c r="G162" s="55"/>
    </row>
    <row r="163" ht="14.25" customHeight="1">
      <c r="G163" s="55"/>
    </row>
    <row r="164" ht="14.25" customHeight="1">
      <c r="G164" s="55"/>
    </row>
    <row r="165" ht="14.25" customHeight="1">
      <c r="G165" s="55"/>
    </row>
    <row r="166" ht="14.25" customHeight="1">
      <c r="G166" s="55"/>
    </row>
    <row r="167" ht="14.25" customHeight="1">
      <c r="G167" s="55"/>
    </row>
    <row r="168" ht="14.25" customHeight="1">
      <c r="G168" s="55"/>
    </row>
    <row r="169" ht="14.25" customHeight="1">
      <c r="G169" s="55"/>
    </row>
    <row r="170" ht="14.25" customHeight="1">
      <c r="G170" s="55"/>
    </row>
    <row r="171" ht="14.25" customHeight="1">
      <c r="G171" s="55"/>
    </row>
    <row r="172" ht="14.25" customHeight="1">
      <c r="G172" s="55"/>
    </row>
    <row r="173" ht="14.25" customHeight="1">
      <c r="G173" s="55"/>
    </row>
    <row r="174" ht="14.25" customHeight="1">
      <c r="G174" s="55"/>
    </row>
    <row r="175" ht="14.25" customHeight="1">
      <c r="G175" s="55"/>
    </row>
    <row r="176" ht="14.25" customHeight="1">
      <c r="G176" s="55"/>
    </row>
    <row r="177" ht="14.25" customHeight="1">
      <c r="G177" s="55"/>
    </row>
    <row r="178" ht="14.25" customHeight="1">
      <c r="G178" s="55"/>
    </row>
    <row r="179" ht="14.25" customHeight="1">
      <c r="G179" s="55"/>
    </row>
    <row r="180" ht="14.25" customHeight="1">
      <c r="G180" s="55"/>
    </row>
    <row r="181" ht="14.25" customHeight="1">
      <c r="G181" s="55"/>
    </row>
    <row r="182" ht="14.25" customHeight="1">
      <c r="G182" s="55"/>
    </row>
    <row r="183" ht="14.25" customHeight="1">
      <c r="G183" s="55"/>
    </row>
    <row r="184" ht="14.25" customHeight="1">
      <c r="G184" s="55"/>
    </row>
    <row r="185" ht="14.25" customHeight="1">
      <c r="G185" s="55"/>
    </row>
    <row r="186" ht="14.25" customHeight="1">
      <c r="G186" s="55"/>
    </row>
    <row r="187" ht="14.25" customHeight="1">
      <c r="G187" s="55"/>
    </row>
    <row r="188" ht="14.25" customHeight="1">
      <c r="G188" s="55"/>
    </row>
    <row r="189" ht="14.25" customHeight="1">
      <c r="G189" s="55"/>
    </row>
    <row r="190" ht="14.25" customHeight="1">
      <c r="G190" s="55"/>
    </row>
    <row r="191" ht="14.25" customHeight="1">
      <c r="G191" s="55"/>
    </row>
    <row r="192" ht="14.25" customHeight="1">
      <c r="G192" s="55"/>
    </row>
    <row r="193" ht="14.25" customHeight="1">
      <c r="G193" s="55"/>
    </row>
    <row r="194" ht="14.25" customHeight="1">
      <c r="G194" s="55"/>
    </row>
    <row r="195" ht="14.25" customHeight="1">
      <c r="G195" s="55"/>
    </row>
    <row r="196" ht="14.25" customHeight="1">
      <c r="G196" s="55"/>
    </row>
    <row r="197" ht="14.25" customHeight="1">
      <c r="G197" s="55"/>
    </row>
    <row r="198" ht="14.25" customHeight="1">
      <c r="G198" s="55"/>
    </row>
    <row r="199" ht="14.25" customHeight="1">
      <c r="G199" s="55"/>
    </row>
    <row r="200" ht="14.25" customHeight="1">
      <c r="G200" s="55"/>
    </row>
    <row r="201" ht="14.25" customHeight="1">
      <c r="G201" s="55"/>
    </row>
    <row r="202" ht="14.25" customHeight="1">
      <c r="G202" s="55"/>
    </row>
    <row r="203" ht="14.25" customHeight="1">
      <c r="G203" s="55"/>
    </row>
    <row r="204" ht="14.25" customHeight="1">
      <c r="G204" s="55"/>
    </row>
    <row r="205" ht="14.25" customHeight="1">
      <c r="G205" s="55"/>
    </row>
    <row r="206" ht="14.25" customHeight="1">
      <c r="G206" s="55"/>
    </row>
    <row r="207" ht="14.25" customHeight="1">
      <c r="G207" s="55"/>
    </row>
    <row r="208" ht="14.25" customHeight="1">
      <c r="G208" s="55"/>
    </row>
    <row r="209" ht="14.25" customHeight="1">
      <c r="G209" s="55"/>
    </row>
    <row r="210" ht="14.25" customHeight="1">
      <c r="G210" s="55"/>
    </row>
    <row r="211" ht="14.25" customHeight="1">
      <c r="G211" s="55"/>
    </row>
    <row r="212" ht="14.25" customHeight="1">
      <c r="G212" s="55"/>
    </row>
    <row r="213" ht="14.25" customHeight="1">
      <c r="G213" s="55"/>
    </row>
    <row r="214" ht="14.25" customHeight="1">
      <c r="G214" s="55"/>
    </row>
    <row r="215" ht="14.25" customHeight="1">
      <c r="G215" s="55"/>
    </row>
    <row r="216" ht="14.25" customHeight="1">
      <c r="G216" s="55"/>
    </row>
    <row r="217" ht="14.25" customHeight="1">
      <c r="G217" s="55"/>
    </row>
    <row r="218" ht="14.25" customHeight="1">
      <c r="G218" s="55"/>
    </row>
    <row r="219" ht="14.25" customHeight="1">
      <c r="G219" s="55"/>
    </row>
    <row r="220" ht="14.25" customHeight="1">
      <c r="G220" s="55"/>
    </row>
    <row r="221" ht="14.25" customHeight="1">
      <c r="G221" s="55"/>
    </row>
    <row r="222" ht="14.25" customHeight="1">
      <c r="G222" s="55"/>
    </row>
    <row r="223" ht="14.25" customHeight="1">
      <c r="G223" s="55"/>
    </row>
    <row r="224" ht="14.25" customHeight="1">
      <c r="G224" s="55"/>
    </row>
    <row r="225" ht="14.25" customHeight="1">
      <c r="G225" s="55"/>
    </row>
    <row r="226" ht="14.25" customHeight="1">
      <c r="G226" s="55"/>
    </row>
    <row r="227" ht="14.25" customHeight="1">
      <c r="G227" s="55"/>
    </row>
    <row r="228" ht="14.25" customHeight="1">
      <c r="G228" s="55"/>
    </row>
    <row r="229" ht="14.25" customHeight="1">
      <c r="G229" s="55"/>
    </row>
    <row r="230" ht="14.25" customHeight="1">
      <c r="G230" s="55"/>
    </row>
    <row r="231" ht="14.25" customHeight="1">
      <c r="G231" s="55"/>
    </row>
    <row r="232" ht="14.25" customHeight="1">
      <c r="G232" s="55"/>
    </row>
    <row r="233" ht="14.25" customHeight="1">
      <c r="G233" s="55"/>
    </row>
    <row r="234" ht="14.25" customHeight="1">
      <c r="G234" s="55"/>
    </row>
    <row r="235" ht="14.25" customHeight="1">
      <c r="G235" s="55"/>
    </row>
    <row r="236" ht="14.25" customHeight="1">
      <c r="G236" s="55"/>
    </row>
    <row r="237" ht="14.25" customHeight="1">
      <c r="G237" s="55"/>
    </row>
    <row r="238" ht="14.25" customHeight="1">
      <c r="G238" s="55"/>
    </row>
    <row r="239" ht="14.25" customHeight="1">
      <c r="G239" s="55"/>
    </row>
    <row r="240" ht="14.25" customHeight="1">
      <c r="G240" s="55"/>
    </row>
    <row r="241" ht="14.25" customHeight="1">
      <c r="G241" s="55"/>
    </row>
    <row r="242" ht="14.25" customHeight="1">
      <c r="G242" s="55"/>
    </row>
    <row r="243" ht="14.25" customHeight="1">
      <c r="G243" s="55"/>
    </row>
    <row r="244" ht="14.25" customHeight="1">
      <c r="G244" s="55"/>
    </row>
    <row r="245" ht="14.25" customHeight="1">
      <c r="G245" s="55"/>
    </row>
    <row r="246" ht="14.25" customHeight="1">
      <c r="G246" s="55"/>
    </row>
    <row r="247" ht="14.25" customHeight="1">
      <c r="G247" s="55"/>
    </row>
    <row r="248" ht="14.25" customHeight="1">
      <c r="G248" s="55"/>
    </row>
    <row r="249" ht="14.25" customHeight="1">
      <c r="G249" s="55"/>
    </row>
    <row r="250" ht="14.25" customHeight="1">
      <c r="G250" s="55"/>
    </row>
    <row r="251" ht="14.25" customHeight="1">
      <c r="G251" s="55"/>
    </row>
    <row r="252" ht="14.25" customHeight="1">
      <c r="G252" s="55"/>
    </row>
    <row r="253" ht="14.25" customHeight="1">
      <c r="G253" s="55"/>
    </row>
    <row r="254" ht="14.25" customHeight="1">
      <c r="G254" s="55"/>
    </row>
    <row r="255" ht="14.25" customHeight="1">
      <c r="G255" s="55"/>
    </row>
    <row r="256" ht="14.25" customHeight="1">
      <c r="G256" s="55"/>
    </row>
    <row r="257" ht="14.25" customHeight="1">
      <c r="G257" s="55"/>
    </row>
    <row r="258" ht="14.25" customHeight="1">
      <c r="G258" s="55"/>
    </row>
    <row r="259" ht="14.25" customHeight="1">
      <c r="G259" s="55"/>
    </row>
    <row r="260" ht="14.25" customHeight="1">
      <c r="G260" s="55"/>
    </row>
    <row r="261" ht="14.25" customHeight="1">
      <c r="G261" s="55"/>
    </row>
    <row r="262" ht="14.25" customHeight="1">
      <c r="G262" s="55"/>
    </row>
    <row r="263" ht="14.25" customHeight="1">
      <c r="G263" s="55"/>
    </row>
    <row r="264" ht="14.25" customHeight="1">
      <c r="G264" s="55"/>
    </row>
    <row r="265" ht="14.25" customHeight="1">
      <c r="G265" s="55"/>
    </row>
    <row r="266" ht="14.25" customHeight="1">
      <c r="G266" s="55"/>
    </row>
    <row r="267" ht="14.25" customHeight="1">
      <c r="G267" s="55"/>
    </row>
    <row r="268" ht="14.25" customHeight="1">
      <c r="G268" s="55"/>
    </row>
    <row r="269" ht="14.25" customHeight="1">
      <c r="G269" s="55"/>
    </row>
    <row r="270" ht="14.25" customHeight="1">
      <c r="G270" s="55"/>
    </row>
    <row r="271" ht="14.25" customHeight="1">
      <c r="G271" s="55"/>
    </row>
    <row r="272" ht="14.25" customHeight="1">
      <c r="G272" s="55"/>
    </row>
    <row r="273" ht="14.25" customHeight="1">
      <c r="G273" s="55"/>
    </row>
    <row r="274" ht="14.25" customHeight="1">
      <c r="G274" s="55"/>
    </row>
    <row r="275" ht="14.25" customHeight="1">
      <c r="G275" s="55"/>
    </row>
    <row r="276" ht="14.25" customHeight="1">
      <c r="G276" s="55"/>
    </row>
    <row r="277" ht="14.25" customHeight="1">
      <c r="G277" s="55"/>
    </row>
    <row r="278" ht="14.25" customHeight="1">
      <c r="G278" s="55"/>
    </row>
    <row r="279" ht="14.25" customHeight="1">
      <c r="G279" s="55"/>
    </row>
    <row r="280" ht="14.25" customHeight="1">
      <c r="G280" s="55"/>
    </row>
    <row r="281" ht="14.25" customHeight="1">
      <c r="G281" s="55"/>
    </row>
    <row r="282" ht="14.25" customHeight="1">
      <c r="G282" s="55"/>
    </row>
    <row r="283" ht="14.25" customHeight="1">
      <c r="G283" s="55"/>
    </row>
    <row r="284" ht="14.25" customHeight="1">
      <c r="G284" s="55"/>
    </row>
    <row r="285" ht="14.25" customHeight="1">
      <c r="G285" s="55"/>
    </row>
    <row r="286" ht="14.25" customHeight="1">
      <c r="G286" s="55"/>
    </row>
    <row r="287" ht="14.25" customHeight="1">
      <c r="G287" s="55"/>
    </row>
    <row r="288" ht="14.25" customHeight="1">
      <c r="G288" s="55"/>
    </row>
    <row r="289" ht="14.25" customHeight="1">
      <c r="G289" s="55"/>
    </row>
    <row r="290" ht="14.25" customHeight="1">
      <c r="G290" s="55"/>
    </row>
    <row r="291" ht="14.25" customHeight="1">
      <c r="G291" s="55"/>
    </row>
    <row r="292" ht="14.25" customHeight="1">
      <c r="G292" s="55"/>
    </row>
    <row r="293" ht="14.25" customHeight="1">
      <c r="G293" s="55"/>
    </row>
    <row r="294" ht="14.25" customHeight="1">
      <c r="G294" s="55"/>
    </row>
    <row r="295" ht="14.25" customHeight="1">
      <c r="G295" s="55"/>
    </row>
    <row r="296" ht="14.25" customHeight="1">
      <c r="G296" s="55"/>
    </row>
    <row r="297" ht="14.25" customHeight="1">
      <c r="G297" s="55"/>
    </row>
    <row r="298" ht="14.25" customHeight="1">
      <c r="G298" s="55"/>
    </row>
    <row r="299" ht="14.25" customHeight="1">
      <c r="G299" s="55"/>
    </row>
    <row r="300" ht="14.25" customHeight="1">
      <c r="G300" s="55"/>
    </row>
    <row r="301" ht="14.25" customHeight="1">
      <c r="G301" s="55"/>
    </row>
    <row r="302" ht="14.25" customHeight="1">
      <c r="G302" s="55"/>
    </row>
    <row r="303" ht="14.25" customHeight="1">
      <c r="G303" s="55"/>
    </row>
    <row r="304" ht="14.25" customHeight="1">
      <c r="G304" s="55"/>
    </row>
    <row r="305" ht="14.25" customHeight="1">
      <c r="G305" s="55"/>
    </row>
    <row r="306" ht="14.25" customHeight="1">
      <c r="G306" s="55"/>
    </row>
    <row r="307" ht="14.25" customHeight="1">
      <c r="G307" s="55"/>
    </row>
    <row r="308" ht="14.25" customHeight="1">
      <c r="G308" s="55"/>
    </row>
    <row r="309" ht="14.25" customHeight="1">
      <c r="G309" s="55"/>
    </row>
    <row r="310" ht="14.25" customHeight="1">
      <c r="G310" s="55"/>
    </row>
    <row r="311" ht="14.25" customHeight="1">
      <c r="G311" s="55"/>
    </row>
    <row r="312" ht="14.25" customHeight="1">
      <c r="G312" s="55"/>
    </row>
    <row r="313" ht="14.25" customHeight="1">
      <c r="G313" s="55"/>
    </row>
    <row r="314" ht="14.25" customHeight="1">
      <c r="G314" s="55"/>
    </row>
    <row r="315" ht="14.25" customHeight="1">
      <c r="G315" s="55"/>
    </row>
    <row r="316" ht="14.25" customHeight="1">
      <c r="G316" s="55"/>
    </row>
    <row r="317" ht="14.25" customHeight="1">
      <c r="G317" s="55"/>
    </row>
    <row r="318" ht="14.25" customHeight="1">
      <c r="G318" s="55"/>
    </row>
    <row r="319" ht="14.25" customHeight="1">
      <c r="G319" s="55"/>
    </row>
    <row r="320" ht="14.25" customHeight="1">
      <c r="G320" s="55"/>
    </row>
    <row r="321" ht="14.25" customHeight="1">
      <c r="G321" s="55"/>
    </row>
    <row r="322" ht="14.25" customHeight="1">
      <c r="G322" s="55"/>
    </row>
    <row r="323" ht="14.25" customHeight="1">
      <c r="G323" s="55"/>
    </row>
    <row r="324" ht="14.25" customHeight="1">
      <c r="G324" s="55"/>
    </row>
    <row r="325" ht="14.25" customHeight="1">
      <c r="G325" s="55"/>
    </row>
    <row r="326" ht="14.25" customHeight="1">
      <c r="G326" s="55"/>
    </row>
    <row r="327" ht="14.25" customHeight="1">
      <c r="G327" s="55"/>
    </row>
    <row r="328" ht="14.25" customHeight="1">
      <c r="G328" s="55"/>
    </row>
    <row r="329" ht="14.25" customHeight="1">
      <c r="G329" s="55"/>
    </row>
    <row r="330" ht="14.25" customHeight="1">
      <c r="G330" s="55"/>
    </row>
    <row r="331" ht="14.25" customHeight="1">
      <c r="G331" s="55"/>
    </row>
    <row r="332" ht="14.25" customHeight="1">
      <c r="G332" s="55"/>
    </row>
    <row r="333" ht="14.25" customHeight="1">
      <c r="G333" s="55"/>
    </row>
    <row r="334" ht="14.25" customHeight="1">
      <c r="G334" s="55"/>
    </row>
    <row r="335" ht="14.25" customHeight="1">
      <c r="G335" s="55"/>
    </row>
    <row r="336" ht="14.25" customHeight="1">
      <c r="G336" s="55"/>
    </row>
    <row r="337" ht="14.25" customHeight="1">
      <c r="G337" s="55"/>
    </row>
    <row r="338" ht="14.25" customHeight="1">
      <c r="G338" s="55"/>
    </row>
    <row r="339" ht="14.25" customHeight="1">
      <c r="G339" s="55"/>
    </row>
    <row r="340" ht="14.25" customHeight="1">
      <c r="G340" s="55"/>
    </row>
    <row r="341" ht="14.25" customHeight="1">
      <c r="G341" s="55"/>
    </row>
    <row r="342" ht="14.25" customHeight="1">
      <c r="G342" s="55"/>
    </row>
    <row r="343" ht="14.25" customHeight="1">
      <c r="G343" s="55"/>
    </row>
    <row r="344" ht="14.25" customHeight="1">
      <c r="G344" s="55"/>
    </row>
    <row r="345" ht="14.25" customHeight="1">
      <c r="G345" s="55"/>
    </row>
    <row r="346" ht="14.25" customHeight="1">
      <c r="G346" s="55"/>
    </row>
    <row r="347" ht="14.25" customHeight="1">
      <c r="G347" s="55"/>
    </row>
    <row r="348" ht="14.25" customHeight="1">
      <c r="G348" s="55"/>
    </row>
    <row r="349" ht="14.25" customHeight="1">
      <c r="G349" s="55"/>
    </row>
    <row r="350" ht="14.25" customHeight="1">
      <c r="G350" s="55"/>
    </row>
    <row r="351" ht="14.25" customHeight="1">
      <c r="G351" s="55"/>
    </row>
    <row r="352" ht="14.25" customHeight="1">
      <c r="G352" s="55"/>
    </row>
    <row r="353" ht="14.25" customHeight="1">
      <c r="G353" s="55"/>
    </row>
    <row r="354" ht="14.25" customHeight="1">
      <c r="G354" s="55"/>
    </row>
    <row r="355" ht="14.25" customHeight="1">
      <c r="G355" s="55"/>
    </row>
    <row r="356" ht="14.25" customHeight="1">
      <c r="G356" s="55"/>
    </row>
    <row r="357" ht="14.25" customHeight="1">
      <c r="G357" s="55"/>
    </row>
    <row r="358" ht="14.25" customHeight="1">
      <c r="G358" s="55"/>
    </row>
    <row r="359" ht="14.25" customHeight="1">
      <c r="G359" s="55"/>
    </row>
    <row r="360" ht="14.25" customHeight="1">
      <c r="G360" s="55"/>
    </row>
    <row r="361" ht="14.25" customHeight="1">
      <c r="G361" s="55"/>
    </row>
    <row r="362" ht="14.25" customHeight="1">
      <c r="G362" s="55"/>
    </row>
    <row r="363" ht="14.25" customHeight="1">
      <c r="G363" s="55"/>
    </row>
    <row r="364" ht="14.25" customHeight="1">
      <c r="G364" s="55"/>
    </row>
    <row r="365" ht="14.25" customHeight="1">
      <c r="G365" s="55"/>
    </row>
    <row r="366" ht="14.25" customHeight="1">
      <c r="G366" s="55"/>
    </row>
    <row r="367" ht="14.25" customHeight="1">
      <c r="G367" s="55"/>
    </row>
    <row r="368" ht="14.25" customHeight="1">
      <c r="G368" s="55"/>
    </row>
    <row r="369" ht="14.25" customHeight="1">
      <c r="G369" s="55"/>
    </row>
    <row r="370" ht="14.25" customHeight="1">
      <c r="G370" s="55"/>
    </row>
    <row r="371" ht="14.25" customHeight="1">
      <c r="G371" s="55"/>
    </row>
    <row r="372" ht="14.25" customHeight="1">
      <c r="G372" s="55"/>
    </row>
    <row r="373" ht="14.25" customHeight="1">
      <c r="G373" s="55"/>
    </row>
    <row r="374" ht="14.25" customHeight="1">
      <c r="G374" s="55"/>
    </row>
    <row r="375" ht="14.25" customHeight="1">
      <c r="G375" s="55"/>
    </row>
    <row r="376" ht="14.25" customHeight="1">
      <c r="G376" s="55"/>
    </row>
    <row r="377" ht="14.25" customHeight="1">
      <c r="G377" s="55"/>
    </row>
    <row r="378" ht="14.25" customHeight="1">
      <c r="G378" s="55"/>
    </row>
    <row r="379" ht="14.25" customHeight="1">
      <c r="G379" s="55"/>
    </row>
    <row r="380" ht="14.25" customHeight="1">
      <c r="G380" s="55"/>
    </row>
    <row r="381" ht="14.25" customHeight="1">
      <c r="G381" s="55"/>
    </row>
    <row r="382" ht="14.25" customHeight="1">
      <c r="G382" s="55"/>
    </row>
    <row r="383" ht="14.25" customHeight="1">
      <c r="G383" s="55"/>
    </row>
    <row r="384" ht="14.25" customHeight="1">
      <c r="G384" s="55"/>
    </row>
    <row r="385" ht="14.25" customHeight="1">
      <c r="G385" s="55"/>
    </row>
    <row r="386" ht="14.25" customHeight="1">
      <c r="G386" s="55"/>
    </row>
    <row r="387" ht="14.25" customHeight="1">
      <c r="G387" s="55"/>
    </row>
    <row r="388" ht="14.25" customHeight="1">
      <c r="G388" s="55"/>
    </row>
    <row r="389" ht="14.25" customHeight="1">
      <c r="G389" s="55"/>
    </row>
    <row r="390" ht="14.25" customHeight="1">
      <c r="G390" s="55"/>
    </row>
    <row r="391" ht="14.25" customHeight="1">
      <c r="G391" s="55"/>
    </row>
    <row r="392" ht="14.25" customHeight="1">
      <c r="G392" s="55"/>
    </row>
    <row r="393" ht="14.25" customHeight="1">
      <c r="G393" s="55"/>
    </row>
    <row r="394" ht="14.25" customHeight="1">
      <c r="G394" s="55"/>
    </row>
    <row r="395" ht="14.25" customHeight="1">
      <c r="G395" s="55"/>
    </row>
    <row r="396" ht="14.25" customHeight="1">
      <c r="G396" s="55"/>
    </row>
    <row r="397" ht="14.25" customHeight="1">
      <c r="G397" s="55"/>
    </row>
    <row r="398" ht="14.25" customHeight="1">
      <c r="G398" s="55"/>
    </row>
    <row r="399" ht="14.25" customHeight="1">
      <c r="G399" s="55"/>
    </row>
    <row r="400" ht="14.25" customHeight="1">
      <c r="G400" s="55"/>
    </row>
    <row r="401" ht="14.25" customHeight="1">
      <c r="G401" s="55"/>
    </row>
    <row r="402" ht="14.25" customHeight="1">
      <c r="G402" s="55"/>
    </row>
    <row r="403" ht="14.25" customHeight="1">
      <c r="G403" s="55"/>
    </row>
    <row r="404" ht="14.25" customHeight="1">
      <c r="G404" s="55"/>
    </row>
    <row r="405" ht="14.25" customHeight="1">
      <c r="G405" s="55"/>
    </row>
    <row r="406" ht="14.25" customHeight="1">
      <c r="G406" s="55"/>
    </row>
    <row r="407" ht="14.25" customHeight="1">
      <c r="G407" s="55"/>
    </row>
    <row r="408" ht="14.25" customHeight="1">
      <c r="G408" s="55"/>
    </row>
    <row r="409" ht="14.25" customHeight="1">
      <c r="G409" s="55"/>
    </row>
    <row r="410" ht="14.25" customHeight="1">
      <c r="G410" s="55"/>
    </row>
    <row r="411" ht="14.25" customHeight="1">
      <c r="G411" s="55"/>
    </row>
    <row r="412" ht="14.25" customHeight="1">
      <c r="G412" s="55"/>
    </row>
    <row r="413" ht="14.25" customHeight="1">
      <c r="G413" s="55"/>
    </row>
    <row r="414" ht="14.25" customHeight="1">
      <c r="G414" s="55"/>
    </row>
    <row r="415" ht="14.25" customHeight="1">
      <c r="G415" s="55"/>
    </row>
    <row r="416" ht="14.25" customHeight="1">
      <c r="G416" s="55"/>
    </row>
    <row r="417" ht="14.25" customHeight="1">
      <c r="G417" s="55"/>
    </row>
    <row r="418" ht="14.25" customHeight="1">
      <c r="G418" s="55"/>
    </row>
    <row r="419" ht="14.25" customHeight="1">
      <c r="G419" s="55"/>
    </row>
    <row r="420" ht="14.25" customHeight="1">
      <c r="G420" s="55"/>
    </row>
    <row r="421" ht="14.25" customHeight="1">
      <c r="G421" s="55"/>
    </row>
    <row r="422" ht="14.25" customHeight="1">
      <c r="G422" s="55"/>
    </row>
    <row r="423" ht="14.25" customHeight="1">
      <c r="G423" s="55"/>
    </row>
    <row r="424" ht="14.25" customHeight="1">
      <c r="G424" s="55"/>
    </row>
    <row r="425" ht="14.25" customHeight="1">
      <c r="G425" s="55"/>
    </row>
    <row r="426" ht="14.25" customHeight="1">
      <c r="G426" s="55"/>
    </row>
    <row r="427" ht="14.25" customHeight="1">
      <c r="G427" s="55"/>
    </row>
    <row r="428" ht="14.25" customHeight="1">
      <c r="G428" s="55"/>
    </row>
    <row r="429" ht="14.25" customHeight="1">
      <c r="G429" s="55"/>
    </row>
    <row r="430" ht="14.25" customHeight="1">
      <c r="G430" s="55"/>
    </row>
    <row r="431" ht="14.25" customHeight="1">
      <c r="G431" s="55"/>
    </row>
    <row r="432" ht="14.25" customHeight="1">
      <c r="G432" s="55"/>
    </row>
    <row r="433" ht="14.25" customHeight="1">
      <c r="G433" s="55"/>
    </row>
    <row r="434" ht="14.25" customHeight="1">
      <c r="G434" s="55"/>
    </row>
    <row r="435" ht="14.25" customHeight="1">
      <c r="G435" s="55"/>
    </row>
    <row r="436" ht="14.25" customHeight="1">
      <c r="G436" s="55"/>
    </row>
    <row r="437" ht="14.25" customHeight="1">
      <c r="G437" s="55"/>
    </row>
    <row r="438" ht="14.25" customHeight="1">
      <c r="G438" s="55"/>
    </row>
    <row r="439" ht="14.25" customHeight="1">
      <c r="G439" s="55"/>
    </row>
    <row r="440" ht="14.25" customHeight="1">
      <c r="G440" s="55"/>
    </row>
    <row r="441" ht="14.25" customHeight="1">
      <c r="G441" s="55"/>
    </row>
    <row r="442" ht="14.25" customHeight="1">
      <c r="G442" s="55"/>
    </row>
    <row r="443" ht="14.25" customHeight="1">
      <c r="G443" s="55"/>
    </row>
    <row r="444" ht="14.25" customHeight="1">
      <c r="G444" s="55"/>
    </row>
    <row r="445" ht="14.25" customHeight="1">
      <c r="G445" s="55"/>
    </row>
    <row r="446" ht="14.25" customHeight="1">
      <c r="G446" s="55"/>
    </row>
    <row r="447" ht="14.25" customHeight="1">
      <c r="G447" s="55"/>
    </row>
    <row r="448" ht="14.25" customHeight="1">
      <c r="G448" s="55"/>
    </row>
    <row r="449" ht="14.25" customHeight="1">
      <c r="G449" s="55"/>
    </row>
    <row r="450" ht="14.25" customHeight="1">
      <c r="G450" s="55"/>
    </row>
    <row r="451" ht="14.25" customHeight="1">
      <c r="G451" s="55"/>
    </row>
    <row r="452" ht="14.25" customHeight="1">
      <c r="G452" s="55"/>
    </row>
    <row r="453" ht="14.25" customHeight="1">
      <c r="G453" s="55"/>
    </row>
    <row r="454" ht="14.25" customHeight="1">
      <c r="G454" s="55"/>
    </row>
    <row r="455" ht="14.25" customHeight="1">
      <c r="G455" s="55"/>
    </row>
    <row r="456" ht="14.25" customHeight="1">
      <c r="G456" s="55"/>
    </row>
    <row r="457" ht="14.25" customHeight="1">
      <c r="G457" s="55"/>
    </row>
    <row r="458" ht="14.25" customHeight="1">
      <c r="G458" s="55"/>
    </row>
    <row r="459" ht="14.25" customHeight="1">
      <c r="G459" s="55"/>
    </row>
    <row r="460" ht="14.25" customHeight="1">
      <c r="G460" s="55"/>
    </row>
    <row r="461" ht="14.25" customHeight="1">
      <c r="G461" s="55"/>
    </row>
    <row r="462" ht="14.25" customHeight="1">
      <c r="G462" s="55"/>
    </row>
    <row r="463" ht="14.25" customHeight="1">
      <c r="G463" s="55"/>
    </row>
    <row r="464" ht="14.25" customHeight="1">
      <c r="G464" s="55"/>
    </row>
    <row r="465" ht="14.25" customHeight="1">
      <c r="G465" s="55"/>
    </row>
    <row r="466" ht="14.25" customHeight="1">
      <c r="G466" s="55"/>
    </row>
    <row r="467" ht="14.25" customHeight="1">
      <c r="G467" s="55"/>
    </row>
    <row r="468" ht="14.25" customHeight="1">
      <c r="G468" s="55"/>
    </row>
    <row r="469" ht="14.25" customHeight="1">
      <c r="G469" s="55"/>
    </row>
    <row r="470" ht="14.25" customHeight="1">
      <c r="G470" s="55"/>
    </row>
    <row r="471" ht="14.25" customHeight="1">
      <c r="G471" s="55"/>
    </row>
    <row r="472" ht="14.25" customHeight="1">
      <c r="G472" s="55"/>
    </row>
    <row r="473" ht="14.25" customHeight="1">
      <c r="G473" s="55"/>
    </row>
    <row r="474" ht="14.25" customHeight="1">
      <c r="G474" s="55"/>
    </row>
    <row r="475" ht="14.25" customHeight="1">
      <c r="G475" s="55"/>
    </row>
    <row r="476" ht="14.25" customHeight="1">
      <c r="G476" s="55"/>
    </row>
    <row r="477" ht="14.25" customHeight="1">
      <c r="G477" s="55"/>
    </row>
    <row r="478" ht="14.25" customHeight="1">
      <c r="G478" s="55"/>
    </row>
    <row r="479" ht="14.25" customHeight="1">
      <c r="G479" s="55"/>
    </row>
    <row r="480" ht="14.25" customHeight="1">
      <c r="G480" s="55"/>
    </row>
    <row r="481" ht="14.25" customHeight="1">
      <c r="G481" s="55"/>
    </row>
    <row r="482" ht="14.25" customHeight="1">
      <c r="G482" s="55"/>
    </row>
    <row r="483" ht="14.25" customHeight="1">
      <c r="G483" s="55"/>
    </row>
    <row r="484" ht="14.25" customHeight="1">
      <c r="G484" s="55"/>
    </row>
    <row r="485" ht="14.25" customHeight="1">
      <c r="G485" s="55"/>
    </row>
    <row r="486" ht="14.25" customHeight="1">
      <c r="G486" s="55"/>
    </row>
    <row r="487" ht="14.25" customHeight="1">
      <c r="G487" s="55"/>
    </row>
    <row r="488" ht="14.25" customHeight="1">
      <c r="G488" s="55"/>
    </row>
    <row r="489" ht="14.25" customHeight="1">
      <c r="G489" s="55"/>
    </row>
    <row r="490" ht="14.25" customHeight="1">
      <c r="G490" s="55"/>
    </row>
    <row r="491" ht="14.25" customHeight="1">
      <c r="G491" s="55"/>
    </row>
    <row r="492" ht="14.25" customHeight="1">
      <c r="G492" s="55"/>
    </row>
    <row r="493" ht="14.25" customHeight="1">
      <c r="G493" s="55"/>
    </row>
    <row r="494" ht="14.25" customHeight="1">
      <c r="G494" s="55"/>
    </row>
    <row r="495" ht="14.25" customHeight="1">
      <c r="G495" s="55"/>
    </row>
    <row r="496" ht="14.25" customHeight="1">
      <c r="G496" s="55"/>
    </row>
    <row r="497" ht="14.25" customHeight="1">
      <c r="G497" s="55"/>
    </row>
    <row r="498" ht="14.25" customHeight="1">
      <c r="G498" s="55"/>
    </row>
    <row r="499" ht="14.25" customHeight="1">
      <c r="G499" s="55"/>
    </row>
    <row r="500" ht="14.25" customHeight="1">
      <c r="G500" s="55"/>
    </row>
    <row r="501" ht="14.25" customHeight="1">
      <c r="G501" s="55"/>
    </row>
    <row r="502" ht="14.25" customHeight="1">
      <c r="G502" s="55"/>
    </row>
    <row r="503" ht="14.25" customHeight="1">
      <c r="G503" s="55"/>
    </row>
    <row r="504" ht="14.25" customHeight="1">
      <c r="G504" s="55"/>
    </row>
    <row r="505" ht="14.25" customHeight="1">
      <c r="G505" s="55"/>
    </row>
    <row r="506" ht="14.25" customHeight="1">
      <c r="G506" s="55"/>
    </row>
    <row r="507" ht="14.25" customHeight="1">
      <c r="G507" s="55"/>
    </row>
    <row r="508" ht="14.25" customHeight="1">
      <c r="G508" s="55"/>
    </row>
    <row r="509" ht="14.25" customHeight="1">
      <c r="G509" s="55"/>
    </row>
    <row r="510" ht="14.25" customHeight="1">
      <c r="G510" s="55"/>
    </row>
    <row r="511" ht="14.25" customHeight="1">
      <c r="G511" s="55"/>
    </row>
    <row r="512" ht="14.25" customHeight="1">
      <c r="G512" s="55"/>
    </row>
    <row r="513" ht="14.25" customHeight="1">
      <c r="G513" s="55"/>
    </row>
    <row r="514" ht="14.25" customHeight="1">
      <c r="G514" s="55"/>
    </row>
    <row r="515" ht="14.25" customHeight="1">
      <c r="G515" s="55"/>
    </row>
    <row r="516" ht="14.25" customHeight="1">
      <c r="G516" s="55"/>
    </row>
    <row r="517" ht="14.25" customHeight="1">
      <c r="G517" s="55"/>
    </row>
    <row r="518" ht="14.25" customHeight="1">
      <c r="G518" s="55"/>
    </row>
    <row r="519" ht="14.25" customHeight="1">
      <c r="G519" s="55"/>
    </row>
    <row r="520" ht="14.25" customHeight="1">
      <c r="G520" s="55"/>
    </row>
    <row r="521" ht="14.25" customHeight="1">
      <c r="G521" s="55"/>
    </row>
    <row r="522" ht="14.25" customHeight="1">
      <c r="G522" s="55"/>
    </row>
    <row r="523" ht="14.25" customHeight="1">
      <c r="G523" s="55"/>
    </row>
    <row r="524" ht="14.25" customHeight="1">
      <c r="G524" s="55"/>
    </row>
    <row r="525" ht="14.25" customHeight="1">
      <c r="G525" s="55"/>
    </row>
    <row r="526" ht="14.25" customHeight="1">
      <c r="G526" s="55"/>
    </row>
    <row r="527" ht="14.25" customHeight="1">
      <c r="G527" s="55"/>
    </row>
    <row r="528" ht="14.25" customHeight="1">
      <c r="G528" s="55"/>
    </row>
    <row r="529" ht="14.25" customHeight="1">
      <c r="G529" s="55"/>
    </row>
    <row r="530" ht="14.25" customHeight="1">
      <c r="G530" s="55"/>
    </row>
    <row r="531" ht="14.25" customHeight="1">
      <c r="G531" s="55"/>
    </row>
    <row r="532" ht="14.25" customHeight="1">
      <c r="G532" s="55"/>
    </row>
    <row r="533" ht="14.25" customHeight="1">
      <c r="G533" s="55"/>
    </row>
    <row r="534" ht="14.25" customHeight="1">
      <c r="G534" s="55"/>
    </row>
    <row r="535" ht="14.25" customHeight="1">
      <c r="G535" s="55"/>
    </row>
    <row r="536" ht="14.25" customHeight="1">
      <c r="G536" s="55"/>
    </row>
    <row r="537" ht="14.25" customHeight="1">
      <c r="G537" s="55"/>
    </row>
    <row r="538" ht="14.25" customHeight="1">
      <c r="G538" s="55"/>
    </row>
    <row r="539" ht="14.25" customHeight="1">
      <c r="G539" s="55"/>
    </row>
    <row r="540" ht="14.25" customHeight="1">
      <c r="G540" s="55"/>
    </row>
    <row r="541" ht="14.25" customHeight="1">
      <c r="G541" s="55"/>
    </row>
    <row r="542" ht="14.25" customHeight="1">
      <c r="G542" s="55"/>
    </row>
    <row r="543" ht="14.25" customHeight="1">
      <c r="G543" s="55"/>
    </row>
    <row r="544" ht="14.25" customHeight="1">
      <c r="G544" s="55"/>
    </row>
    <row r="545" ht="14.25" customHeight="1">
      <c r="G545" s="55"/>
    </row>
    <row r="546" ht="14.25" customHeight="1">
      <c r="G546" s="55"/>
    </row>
    <row r="547" ht="14.25" customHeight="1">
      <c r="G547" s="55"/>
    </row>
    <row r="548" ht="14.25" customHeight="1">
      <c r="G548" s="55"/>
    </row>
    <row r="549" ht="14.25" customHeight="1">
      <c r="G549" s="55"/>
    </row>
    <row r="550" ht="14.25" customHeight="1">
      <c r="G550" s="55"/>
    </row>
    <row r="551" ht="14.25" customHeight="1">
      <c r="G551" s="55"/>
    </row>
    <row r="552" ht="14.25" customHeight="1">
      <c r="G552" s="55"/>
    </row>
    <row r="553" ht="14.25" customHeight="1">
      <c r="G553" s="55"/>
    </row>
    <row r="554" ht="14.25" customHeight="1">
      <c r="G554" s="55"/>
    </row>
    <row r="555" ht="14.25" customHeight="1">
      <c r="G555" s="55"/>
    </row>
    <row r="556" ht="14.25" customHeight="1">
      <c r="G556" s="55"/>
    </row>
    <row r="557" ht="14.25" customHeight="1">
      <c r="G557" s="55"/>
    </row>
    <row r="558" ht="14.25" customHeight="1">
      <c r="G558" s="55"/>
    </row>
    <row r="559" ht="14.25" customHeight="1">
      <c r="G559" s="55"/>
    </row>
    <row r="560" ht="14.25" customHeight="1">
      <c r="G560" s="55"/>
    </row>
    <row r="561" ht="14.25" customHeight="1">
      <c r="G561" s="55"/>
    </row>
    <row r="562" ht="14.25" customHeight="1">
      <c r="G562" s="55"/>
    </row>
    <row r="563" ht="14.25" customHeight="1">
      <c r="G563" s="55"/>
    </row>
    <row r="564" ht="14.25" customHeight="1">
      <c r="G564" s="55"/>
    </row>
    <row r="565" ht="14.25" customHeight="1">
      <c r="G565" s="55"/>
    </row>
    <row r="566" ht="14.25" customHeight="1">
      <c r="G566" s="55"/>
    </row>
    <row r="567" ht="14.25" customHeight="1">
      <c r="G567" s="55"/>
    </row>
    <row r="568" ht="14.25" customHeight="1">
      <c r="G568" s="55"/>
    </row>
    <row r="569" ht="14.25" customHeight="1">
      <c r="G569" s="55"/>
    </row>
    <row r="570" ht="14.25" customHeight="1">
      <c r="G570" s="55"/>
    </row>
    <row r="571" ht="14.25" customHeight="1">
      <c r="G571" s="55"/>
    </row>
    <row r="572" ht="14.25" customHeight="1">
      <c r="G572" s="55"/>
    </row>
    <row r="573" ht="14.25" customHeight="1">
      <c r="G573" s="55"/>
    </row>
    <row r="574" ht="14.25" customHeight="1">
      <c r="G574" s="55"/>
    </row>
    <row r="575" ht="14.25" customHeight="1">
      <c r="G575" s="55"/>
    </row>
    <row r="576" ht="14.25" customHeight="1">
      <c r="G576" s="55"/>
    </row>
    <row r="577" ht="14.25" customHeight="1">
      <c r="G577" s="55"/>
    </row>
    <row r="578" ht="14.25" customHeight="1">
      <c r="G578" s="55"/>
    </row>
    <row r="579" ht="14.25" customHeight="1">
      <c r="G579" s="55"/>
    </row>
    <row r="580" ht="14.25" customHeight="1">
      <c r="G580" s="55"/>
    </row>
    <row r="581" ht="14.25" customHeight="1">
      <c r="G581" s="55"/>
    </row>
    <row r="582" ht="14.25" customHeight="1">
      <c r="G582" s="55"/>
    </row>
    <row r="583" ht="14.25" customHeight="1">
      <c r="G583" s="55"/>
    </row>
    <row r="584" ht="14.25" customHeight="1">
      <c r="G584" s="55"/>
    </row>
    <row r="585" ht="14.25" customHeight="1">
      <c r="G585" s="55"/>
    </row>
    <row r="586" ht="14.25" customHeight="1">
      <c r="G586" s="55"/>
    </row>
    <row r="587" ht="14.25" customHeight="1">
      <c r="G587" s="55"/>
    </row>
    <row r="588" ht="14.25" customHeight="1">
      <c r="G588" s="55"/>
    </row>
    <row r="589" ht="14.25" customHeight="1">
      <c r="G589" s="55"/>
    </row>
    <row r="590" ht="14.25" customHeight="1">
      <c r="G590" s="55"/>
    </row>
    <row r="591" ht="14.25" customHeight="1">
      <c r="G591" s="55"/>
    </row>
    <row r="592" ht="14.25" customHeight="1">
      <c r="G592" s="55"/>
    </row>
    <row r="593" ht="14.25" customHeight="1">
      <c r="G593" s="55"/>
    </row>
    <row r="594" ht="14.25" customHeight="1">
      <c r="G594" s="55"/>
    </row>
    <row r="595" ht="14.25" customHeight="1">
      <c r="G595" s="55"/>
    </row>
    <row r="596" ht="14.25" customHeight="1">
      <c r="G596" s="55"/>
    </row>
    <row r="597" ht="14.25" customHeight="1">
      <c r="G597" s="55"/>
    </row>
    <row r="598" ht="14.25" customHeight="1">
      <c r="G598" s="55"/>
    </row>
    <row r="599" ht="14.25" customHeight="1">
      <c r="G599" s="55"/>
    </row>
    <row r="600" ht="14.25" customHeight="1">
      <c r="G600" s="55"/>
    </row>
    <row r="601" ht="14.25" customHeight="1">
      <c r="G601" s="55"/>
    </row>
    <row r="602" ht="14.25" customHeight="1">
      <c r="G602" s="55"/>
    </row>
    <row r="603" ht="14.25" customHeight="1">
      <c r="G603" s="55"/>
    </row>
    <row r="604" ht="14.25" customHeight="1">
      <c r="G604" s="55"/>
    </row>
    <row r="605" ht="14.25" customHeight="1">
      <c r="G605" s="55"/>
    </row>
    <row r="606" ht="14.25" customHeight="1">
      <c r="G606" s="55"/>
    </row>
    <row r="607" ht="14.25" customHeight="1">
      <c r="G607" s="55"/>
    </row>
    <row r="608" ht="14.25" customHeight="1">
      <c r="G608" s="55"/>
    </row>
    <row r="609" ht="14.25" customHeight="1">
      <c r="G609" s="55"/>
    </row>
    <row r="610" ht="14.25" customHeight="1">
      <c r="G610" s="55"/>
    </row>
    <row r="611" ht="14.25" customHeight="1">
      <c r="G611" s="55"/>
    </row>
    <row r="612" ht="14.25" customHeight="1">
      <c r="G612" s="55"/>
    </row>
    <row r="613" ht="14.25" customHeight="1">
      <c r="G613" s="55"/>
    </row>
    <row r="614" ht="14.25" customHeight="1">
      <c r="G614" s="55"/>
    </row>
    <row r="615" ht="14.25" customHeight="1">
      <c r="G615" s="55"/>
    </row>
    <row r="616" ht="14.25" customHeight="1">
      <c r="G616" s="55"/>
    </row>
    <row r="617" ht="14.25" customHeight="1">
      <c r="G617" s="55"/>
    </row>
    <row r="618" ht="14.25" customHeight="1">
      <c r="G618" s="55"/>
    </row>
    <row r="619" ht="14.25" customHeight="1">
      <c r="G619" s="55"/>
    </row>
    <row r="620" ht="14.25" customHeight="1">
      <c r="G620" s="55"/>
    </row>
    <row r="621" ht="14.25" customHeight="1">
      <c r="G621" s="55"/>
    </row>
    <row r="622" ht="14.25" customHeight="1">
      <c r="G622" s="55"/>
    </row>
    <row r="623" ht="14.25" customHeight="1">
      <c r="G623" s="55"/>
    </row>
    <row r="624" ht="14.25" customHeight="1">
      <c r="G624" s="55"/>
    </row>
    <row r="625" ht="14.25" customHeight="1">
      <c r="G625" s="55"/>
    </row>
    <row r="626" ht="14.25" customHeight="1">
      <c r="G626" s="55"/>
    </row>
    <row r="627" ht="14.25" customHeight="1">
      <c r="G627" s="55"/>
    </row>
    <row r="628" ht="14.25" customHeight="1">
      <c r="G628" s="55"/>
    </row>
    <row r="629" ht="14.25" customHeight="1">
      <c r="G629" s="55"/>
    </row>
    <row r="630" ht="14.25" customHeight="1">
      <c r="G630" s="55"/>
    </row>
    <row r="631" ht="14.25" customHeight="1">
      <c r="G631" s="55"/>
    </row>
    <row r="632" ht="14.25" customHeight="1">
      <c r="G632" s="55"/>
    </row>
    <row r="633" ht="14.25" customHeight="1">
      <c r="G633" s="55"/>
    </row>
    <row r="634" ht="14.25" customHeight="1">
      <c r="G634" s="55"/>
    </row>
    <row r="635" ht="14.25" customHeight="1">
      <c r="G635" s="55"/>
    </row>
    <row r="636" ht="14.25" customHeight="1">
      <c r="G636" s="55"/>
    </row>
    <row r="637" ht="14.25" customHeight="1">
      <c r="G637" s="55"/>
    </row>
    <row r="638" ht="14.25" customHeight="1">
      <c r="G638" s="55"/>
    </row>
    <row r="639" ht="14.25" customHeight="1">
      <c r="G639" s="55"/>
    </row>
    <row r="640" ht="14.25" customHeight="1">
      <c r="G640" s="55"/>
    </row>
    <row r="641" ht="14.25" customHeight="1">
      <c r="G641" s="55"/>
    </row>
    <row r="642" ht="14.25" customHeight="1">
      <c r="G642" s="55"/>
    </row>
    <row r="643" ht="14.25" customHeight="1">
      <c r="G643" s="55"/>
    </row>
    <row r="644" ht="14.25" customHeight="1">
      <c r="G644" s="55"/>
    </row>
    <row r="645" ht="14.25" customHeight="1">
      <c r="G645" s="55"/>
    </row>
    <row r="646" ht="14.25" customHeight="1">
      <c r="G646" s="55"/>
    </row>
    <row r="647" ht="14.25" customHeight="1">
      <c r="G647" s="55"/>
    </row>
    <row r="648" ht="14.25" customHeight="1">
      <c r="G648" s="55"/>
    </row>
    <row r="649" ht="14.25" customHeight="1">
      <c r="G649" s="55"/>
    </row>
    <row r="650" ht="14.25" customHeight="1">
      <c r="G650" s="55"/>
    </row>
    <row r="651" ht="14.25" customHeight="1">
      <c r="G651" s="55"/>
    </row>
    <row r="652" ht="14.25" customHeight="1">
      <c r="G652" s="55"/>
    </row>
    <row r="653" ht="14.25" customHeight="1">
      <c r="G653" s="55"/>
    </row>
    <row r="654" ht="14.25" customHeight="1">
      <c r="G654" s="55"/>
    </row>
    <row r="655" ht="14.25" customHeight="1">
      <c r="G655" s="55"/>
    </row>
    <row r="656" ht="14.25" customHeight="1">
      <c r="G656" s="55"/>
    </row>
    <row r="657" ht="14.25" customHeight="1">
      <c r="G657" s="55"/>
    </row>
    <row r="658" ht="14.25" customHeight="1">
      <c r="G658" s="55"/>
    </row>
    <row r="659" ht="14.25" customHeight="1">
      <c r="G659" s="55"/>
    </row>
    <row r="660" ht="14.25" customHeight="1">
      <c r="G660" s="55"/>
    </row>
    <row r="661" ht="14.25" customHeight="1">
      <c r="G661" s="55"/>
    </row>
    <row r="662" ht="14.25" customHeight="1">
      <c r="G662" s="55"/>
    </row>
    <row r="663" ht="14.25" customHeight="1">
      <c r="G663" s="55"/>
    </row>
    <row r="664" ht="14.25" customHeight="1">
      <c r="G664" s="55"/>
    </row>
    <row r="665" ht="14.25" customHeight="1">
      <c r="G665" s="55"/>
    </row>
    <row r="666" ht="14.25" customHeight="1">
      <c r="G666" s="55"/>
    </row>
    <row r="667" ht="14.25" customHeight="1">
      <c r="G667" s="55"/>
    </row>
    <row r="668" ht="14.25" customHeight="1">
      <c r="G668" s="55"/>
    </row>
    <row r="669" ht="14.25" customHeight="1">
      <c r="G669" s="55"/>
    </row>
    <row r="670" ht="14.25" customHeight="1">
      <c r="G670" s="55"/>
    </row>
    <row r="671" ht="14.25" customHeight="1">
      <c r="G671" s="55"/>
    </row>
    <row r="672" ht="14.25" customHeight="1">
      <c r="G672" s="55"/>
    </row>
    <row r="673" ht="14.25" customHeight="1">
      <c r="G673" s="55"/>
    </row>
    <row r="674" ht="14.25" customHeight="1">
      <c r="G674" s="55"/>
    </row>
    <row r="675" ht="14.25" customHeight="1">
      <c r="G675" s="55"/>
    </row>
    <row r="676" ht="14.25" customHeight="1">
      <c r="G676" s="55"/>
    </row>
    <row r="677" ht="14.25" customHeight="1">
      <c r="G677" s="55"/>
    </row>
    <row r="678" ht="14.25" customHeight="1">
      <c r="G678" s="55"/>
    </row>
    <row r="679" ht="14.25" customHeight="1">
      <c r="G679" s="55"/>
    </row>
    <row r="680" ht="14.25" customHeight="1">
      <c r="G680" s="55"/>
    </row>
    <row r="681" ht="14.25" customHeight="1">
      <c r="G681" s="55"/>
    </row>
    <row r="682" ht="14.25" customHeight="1">
      <c r="G682" s="55"/>
    </row>
    <row r="683" ht="14.25" customHeight="1">
      <c r="G683" s="55"/>
    </row>
    <row r="684" ht="14.25" customHeight="1">
      <c r="G684" s="55"/>
    </row>
    <row r="685" ht="14.25" customHeight="1">
      <c r="G685" s="55"/>
    </row>
    <row r="686" ht="14.25" customHeight="1">
      <c r="G686" s="55"/>
    </row>
    <row r="687" ht="14.25" customHeight="1">
      <c r="G687" s="55"/>
    </row>
    <row r="688" ht="14.25" customHeight="1">
      <c r="G688" s="55"/>
    </row>
    <row r="689" ht="14.25" customHeight="1">
      <c r="G689" s="55"/>
    </row>
    <row r="690" ht="14.25" customHeight="1">
      <c r="G690" s="55"/>
    </row>
    <row r="691" ht="14.25" customHeight="1">
      <c r="G691" s="55"/>
    </row>
    <row r="692" ht="14.25" customHeight="1">
      <c r="G692" s="55"/>
    </row>
    <row r="693" ht="14.25" customHeight="1">
      <c r="G693" s="55"/>
    </row>
    <row r="694" ht="14.25" customHeight="1">
      <c r="G694" s="55"/>
    </row>
    <row r="695" ht="14.25" customHeight="1">
      <c r="G695" s="55"/>
    </row>
    <row r="696" ht="14.25" customHeight="1">
      <c r="G696" s="55"/>
    </row>
    <row r="697" ht="14.25" customHeight="1">
      <c r="G697" s="55"/>
    </row>
    <row r="698" ht="14.25" customHeight="1">
      <c r="G698" s="55"/>
    </row>
    <row r="699" ht="14.25" customHeight="1">
      <c r="G699" s="55"/>
    </row>
    <row r="700" ht="14.25" customHeight="1">
      <c r="G700" s="55"/>
    </row>
    <row r="701" ht="14.25" customHeight="1">
      <c r="G701" s="55"/>
    </row>
    <row r="702" ht="14.25" customHeight="1">
      <c r="G702" s="55"/>
    </row>
    <row r="703" ht="14.25" customHeight="1">
      <c r="G703" s="55"/>
    </row>
    <row r="704" ht="14.25" customHeight="1">
      <c r="G704" s="55"/>
    </row>
    <row r="705" ht="14.25" customHeight="1">
      <c r="G705" s="55"/>
    </row>
    <row r="706" ht="14.25" customHeight="1">
      <c r="G706" s="55"/>
    </row>
    <row r="707" ht="14.25" customHeight="1">
      <c r="G707" s="55"/>
    </row>
    <row r="708" ht="14.25" customHeight="1">
      <c r="G708" s="55"/>
    </row>
    <row r="709" ht="14.25" customHeight="1">
      <c r="G709" s="55"/>
    </row>
    <row r="710" ht="14.25" customHeight="1">
      <c r="G710" s="55"/>
    </row>
    <row r="711" ht="14.25" customHeight="1">
      <c r="G711" s="55"/>
    </row>
    <row r="712" ht="14.25" customHeight="1">
      <c r="G712" s="55"/>
    </row>
    <row r="713" ht="14.25" customHeight="1">
      <c r="G713" s="55"/>
    </row>
    <row r="714" ht="14.25" customHeight="1">
      <c r="G714" s="55"/>
    </row>
    <row r="715" ht="14.25" customHeight="1">
      <c r="G715" s="55"/>
    </row>
    <row r="716" ht="14.25" customHeight="1">
      <c r="G716" s="55"/>
    </row>
    <row r="717" ht="14.25" customHeight="1">
      <c r="G717" s="55"/>
    </row>
    <row r="718" ht="14.25" customHeight="1">
      <c r="G718" s="55"/>
    </row>
    <row r="719" ht="14.25" customHeight="1">
      <c r="G719" s="55"/>
    </row>
    <row r="720" ht="14.25" customHeight="1">
      <c r="G720" s="55"/>
    </row>
    <row r="721" ht="14.25" customHeight="1">
      <c r="G721" s="55"/>
    </row>
    <row r="722" ht="14.25" customHeight="1">
      <c r="G722" s="55"/>
    </row>
    <row r="723" ht="14.25" customHeight="1">
      <c r="G723" s="55"/>
    </row>
    <row r="724" ht="14.25" customHeight="1">
      <c r="G724" s="55"/>
    </row>
    <row r="725" ht="14.25" customHeight="1">
      <c r="G725" s="55"/>
    </row>
    <row r="726" ht="14.25" customHeight="1">
      <c r="G726" s="55"/>
    </row>
    <row r="727" ht="14.25" customHeight="1">
      <c r="G727" s="55"/>
    </row>
    <row r="728" ht="14.25" customHeight="1">
      <c r="G728" s="55"/>
    </row>
    <row r="729" ht="14.25" customHeight="1">
      <c r="G729" s="55"/>
    </row>
    <row r="730" ht="14.25" customHeight="1">
      <c r="G730" s="55"/>
    </row>
    <row r="731" ht="14.25" customHeight="1">
      <c r="G731" s="55"/>
    </row>
    <row r="732" ht="14.25" customHeight="1">
      <c r="G732" s="55"/>
    </row>
    <row r="733" ht="14.25" customHeight="1">
      <c r="G733" s="55"/>
    </row>
    <row r="734" ht="14.25" customHeight="1">
      <c r="G734" s="55"/>
    </row>
    <row r="735" ht="14.25" customHeight="1">
      <c r="G735" s="55"/>
    </row>
    <row r="736" ht="14.25" customHeight="1">
      <c r="G736" s="55"/>
    </row>
    <row r="737" ht="14.25" customHeight="1">
      <c r="G737" s="55"/>
    </row>
    <row r="738" ht="14.25" customHeight="1">
      <c r="G738" s="55"/>
    </row>
    <row r="739" ht="14.25" customHeight="1">
      <c r="G739" s="55"/>
    </row>
    <row r="740" ht="14.25" customHeight="1">
      <c r="G740" s="55"/>
    </row>
    <row r="741" ht="14.25" customHeight="1">
      <c r="G741" s="55"/>
    </row>
    <row r="742" ht="14.25" customHeight="1">
      <c r="G742" s="55"/>
    </row>
    <row r="743" ht="14.25" customHeight="1">
      <c r="G743" s="55"/>
    </row>
    <row r="744" ht="14.25" customHeight="1">
      <c r="G744" s="55"/>
    </row>
    <row r="745" ht="14.25" customHeight="1">
      <c r="G745" s="55"/>
    </row>
    <row r="746" ht="14.25" customHeight="1">
      <c r="G746" s="55"/>
    </row>
    <row r="747" ht="14.25" customHeight="1">
      <c r="G747" s="55"/>
    </row>
    <row r="748" ht="14.25" customHeight="1">
      <c r="G748" s="55"/>
    </row>
    <row r="749" ht="14.25" customHeight="1">
      <c r="G749" s="55"/>
    </row>
    <row r="750" ht="14.25" customHeight="1">
      <c r="G750" s="55"/>
    </row>
    <row r="751" ht="14.25" customHeight="1">
      <c r="G751" s="55"/>
    </row>
    <row r="752" ht="14.25" customHeight="1">
      <c r="G752" s="55"/>
    </row>
    <row r="753" ht="14.25" customHeight="1">
      <c r="G753" s="55"/>
    </row>
    <row r="754" ht="14.25" customHeight="1">
      <c r="G754" s="55"/>
    </row>
    <row r="755" ht="14.25" customHeight="1">
      <c r="G755" s="55"/>
    </row>
    <row r="756" ht="14.25" customHeight="1">
      <c r="G756" s="55"/>
    </row>
    <row r="757" ht="14.25" customHeight="1">
      <c r="G757" s="55"/>
    </row>
    <row r="758" ht="14.25" customHeight="1">
      <c r="G758" s="55"/>
    </row>
    <row r="759" ht="14.25" customHeight="1">
      <c r="G759" s="55"/>
    </row>
    <row r="760" ht="14.25" customHeight="1">
      <c r="G760" s="55"/>
    </row>
    <row r="761" ht="14.25" customHeight="1">
      <c r="G761" s="55"/>
    </row>
    <row r="762" ht="14.25" customHeight="1">
      <c r="G762" s="55"/>
    </row>
    <row r="763" ht="14.25" customHeight="1">
      <c r="G763" s="55"/>
    </row>
    <row r="764" ht="14.25" customHeight="1">
      <c r="G764" s="55"/>
    </row>
    <row r="765" ht="14.25" customHeight="1">
      <c r="G765" s="55"/>
    </row>
    <row r="766" ht="14.25" customHeight="1">
      <c r="G766" s="55"/>
    </row>
    <row r="767" ht="14.25" customHeight="1">
      <c r="G767" s="55"/>
    </row>
    <row r="768" ht="14.25" customHeight="1">
      <c r="G768" s="55"/>
    </row>
    <row r="769" ht="14.25" customHeight="1">
      <c r="G769" s="55"/>
    </row>
    <row r="770" ht="14.25" customHeight="1">
      <c r="G770" s="55"/>
    </row>
    <row r="771" ht="14.25" customHeight="1">
      <c r="G771" s="55"/>
    </row>
    <row r="772" ht="14.25" customHeight="1">
      <c r="G772" s="55"/>
    </row>
    <row r="773" ht="14.25" customHeight="1">
      <c r="G773" s="55"/>
    </row>
    <row r="774" ht="14.25" customHeight="1">
      <c r="G774" s="55"/>
    </row>
    <row r="775" ht="14.25" customHeight="1">
      <c r="G775" s="55"/>
    </row>
    <row r="776" ht="14.25" customHeight="1">
      <c r="G776" s="55"/>
    </row>
    <row r="777" ht="14.25" customHeight="1">
      <c r="G777" s="55"/>
    </row>
    <row r="778" ht="14.25" customHeight="1">
      <c r="G778" s="55"/>
    </row>
    <row r="779" ht="14.25" customHeight="1">
      <c r="G779" s="55"/>
    </row>
    <row r="780" ht="14.25" customHeight="1">
      <c r="G780" s="55"/>
    </row>
    <row r="781" ht="14.25" customHeight="1">
      <c r="G781" s="55"/>
    </row>
    <row r="782" ht="14.25" customHeight="1">
      <c r="G782" s="55"/>
    </row>
    <row r="783" ht="14.25" customHeight="1">
      <c r="G783" s="55"/>
    </row>
    <row r="784" ht="14.25" customHeight="1">
      <c r="G784" s="55"/>
    </row>
    <row r="785" ht="14.25" customHeight="1">
      <c r="G785" s="55"/>
    </row>
    <row r="786" ht="14.25" customHeight="1">
      <c r="G786" s="55"/>
    </row>
    <row r="787" ht="14.25" customHeight="1">
      <c r="G787" s="55"/>
    </row>
    <row r="788" ht="14.25" customHeight="1">
      <c r="G788" s="55"/>
    </row>
    <row r="789" ht="14.25" customHeight="1">
      <c r="G789" s="55"/>
    </row>
    <row r="790" ht="14.25" customHeight="1">
      <c r="G790" s="55"/>
    </row>
    <row r="791" ht="14.25" customHeight="1">
      <c r="G791" s="55"/>
    </row>
    <row r="792" ht="14.25" customHeight="1">
      <c r="G792" s="55"/>
    </row>
    <row r="793" ht="14.25" customHeight="1">
      <c r="G793" s="55"/>
    </row>
    <row r="794" ht="14.25" customHeight="1">
      <c r="G794" s="55"/>
    </row>
    <row r="795" ht="14.25" customHeight="1">
      <c r="G795" s="55"/>
    </row>
    <row r="796" ht="14.25" customHeight="1">
      <c r="G796" s="55"/>
    </row>
    <row r="797" ht="14.25" customHeight="1">
      <c r="G797" s="55"/>
    </row>
    <row r="798" ht="14.25" customHeight="1">
      <c r="G798" s="55"/>
    </row>
    <row r="799" ht="14.25" customHeight="1">
      <c r="G799" s="55"/>
    </row>
    <row r="800" ht="14.25" customHeight="1">
      <c r="G800" s="55"/>
    </row>
    <row r="801" ht="14.25" customHeight="1">
      <c r="G801" s="55"/>
    </row>
    <row r="802" ht="14.25" customHeight="1">
      <c r="G802" s="55"/>
    </row>
    <row r="803" ht="14.25" customHeight="1">
      <c r="G803" s="55"/>
    </row>
    <row r="804" ht="14.25" customHeight="1">
      <c r="G804" s="55"/>
    </row>
    <row r="805" ht="14.25" customHeight="1">
      <c r="G805" s="55"/>
    </row>
    <row r="806" ht="14.25" customHeight="1">
      <c r="G806" s="55"/>
    </row>
    <row r="807" ht="14.25" customHeight="1">
      <c r="G807" s="55"/>
    </row>
    <row r="808" ht="14.25" customHeight="1">
      <c r="G808" s="55"/>
    </row>
    <row r="809" ht="14.25" customHeight="1">
      <c r="G809" s="55"/>
    </row>
    <row r="810" ht="14.25" customHeight="1">
      <c r="G810" s="55"/>
    </row>
    <row r="811" ht="14.25" customHeight="1">
      <c r="G811" s="55"/>
    </row>
    <row r="812" ht="14.25" customHeight="1">
      <c r="G812" s="55"/>
    </row>
    <row r="813" ht="14.25" customHeight="1">
      <c r="G813" s="55"/>
    </row>
    <row r="814" ht="14.25" customHeight="1">
      <c r="G814" s="55"/>
    </row>
    <row r="815" ht="14.25" customHeight="1">
      <c r="G815" s="55"/>
    </row>
    <row r="816" ht="14.25" customHeight="1">
      <c r="G816" s="55"/>
    </row>
    <row r="817" ht="14.25" customHeight="1">
      <c r="G817" s="55"/>
    </row>
    <row r="818" ht="14.25" customHeight="1">
      <c r="G818" s="55"/>
    </row>
    <row r="819" ht="14.25" customHeight="1">
      <c r="G819" s="55"/>
    </row>
    <row r="820" ht="14.25" customHeight="1">
      <c r="G820" s="55"/>
    </row>
    <row r="821" ht="14.25" customHeight="1">
      <c r="G821" s="55"/>
    </row>
    <row r="822" ht="14.25" customHeight="1">
      <c r="G822" s="55"/>
    </row>
    <row r="823" ht="14.25" customHeight="1">
      <c r="G823" s="55"/>
    </row>
    <row r="824" ht="14.25" customHeight="1">
      <c r="G824" s="55"/>
    </row>
    <row r="825" ht="14.25" customHeight="1">
      <c r="G825" s="55"/>
    </row>
    <row r="826" ht="14.25" customHeight="1">
      <c r="G826" s="55"/>
    </row>
    <row r="827" ht="14.25" customHeight="1">
      <c r="G827" s="55"/>
    </row>
    <row r="828" ht="14.25" customHeight="1">
      <c r="G828" s="55"/>
    </row>
    <row r="829" ht="14.25" customHeight="1">
      <c r="G829" s="55"/>
    </row>
    <row r="830" ht="14.25" customHeight="1">
      <c r="G830" s="55"/>
    </row>
    <row r="831" ht="14.25" customHeight="1">
      <c r="G831" s="55"/>
    </row>
    <row r="832" ht="14.25" customHeight="1">
      <c r="G832" s="55"/>
    </row>
    <row r="833" ht="14.25" customHeight="1">
      <c r="G833" s="55"/>
    </row>
    <row r="834" ht="14.25" customHeight="1">
      <c r="G834" s="55"/>
    </row>
    <row r="835" ht="14.25" customHeight="1">
      <c r="G835" s="55"/>
    </row>
    <row r="836" ht="14.25" customHeight="1">
      <c r="G836" s="55"/>
    </row>
    <row r="837" ht="14.25" customHeight="1">
      <c r="G837" s="55"/>
    </row>
    <row r="838" ht="14.25" customHeight="1">
      <c r="G838" s="55"/>
    </row>
    <row r="839" ht="14.25" customHeight="1">
      <c r="G839" s="55"/>
    </row>
    <row r="840" ht="14.25" customHeight="1">
      <c r="G840" s="55"/>
    </row>
    <row r="841" ht="14.25" customHeight="1">
      <c r="G841" s="55"/>
    </row>
    <row r="842" ht="14.25" customHeight="1">
      <c r="G842" s="55"/>
    </row>
    <row r="843" ht="14.25" customHeight="1">
      <c r="G843" s="55"/>
    </row>
    <row r="844" ht="14.25" customHeight="1">
      <c r="G844" s="55"/>
    </row>
    <row r="845" ht="14.25" customHeight="1">
      <c r="G845" s="55"/>
    </row>
    <row r="846" ht="14.25" customHeight="1">
      <c r="G846" s="55"/>
    </row>
    <row r="847" ht="14.25" customHeight="1">
      <c r="G847" s="55"/>
    </row>
    <row r="848" ht="14.25" customHeight="1">
      <c r="G848" s="55"/>
    </row>
    <row r="849" ht="14.25" customHeight="1">
      <c r="G849" s="55"/>
    </row>
    <row r="850" ht="14.25" customHeight="1">
      <c r="G850" s="55"/>
    </row>
    <row r="851" ht="14.25" customHeight="1">
      <c r="G851" s="55"/>
    </row>
    <row r="852" ht="14.25" customHeight="1">
      <c r="G852" s="55"/>
    </row>
    <row r="853" ht="14.25" customHeight="1">
      <c r="G853" s="55"/>
    </row>
    <row r="854" ht="14.25" customHeight="1">
      <c r="G854" s="55"/>
    </row>
    <row r="855" ht="14.25" customHeight="1">
      <c r="G855" s="55"/>
    </row>
    <row r="856" ht="14.25" customHeight="1">
      <c r="G856" s="55"/>
    </row>
    <row r="857" ht="14.25" customHeight="1">
      <c r="G857" s="55"/>
    </row>
    <row r="858" ht="14.25" customHeight="1">
      <c r="G858" s="55"/>
    </row>
    <row r="859" ht="14.25" customHeight="1">
      <c r="G859" s="55"/>
    </row>
    <row r="860" ht="14.25" customHeight="1">
      <c r="G860" s="55"/>
    </row>
    <row r="861" ht="14.25" customHeight="1">
      <c r="G861" s="55"/>
    </row>
    <row r="862" ht="14.25" customHeight="1">
      <c r="G862" s="55"/>
    </row>
    <row r="863" ht="14.25" customHeight="1">
      <c r="G863" s="55"/>
    </row>
    <row r="864" ht="14.25" customHeight="1">
      <c r="G864" s="55"/>
    </row>
    <row r="865" ht="14.25" customHeight="1">
      <c r="G865" s="55"/>
    </row>
    <row r="866" ht="14.25" customHeight="1">
      <c r="G866" s="55"/>
    </row>
    <row r="867" ht="14.25" customHeight="1">
      <c r="G867" s="55"/>
    </row>
    <row r="868" ht="14.25" customHeight="1">
      <c r="G868" s="55"/>
    </row>
    <row r="869" ht="14.25" customHeight="1">
      <c r="G869" s="55"/>
    </row>
    <row r="870" ht="14.25" customHeight="1">
      <c r="G870" s="55"/>
    </row>
    <row r="871" ht="14.25" customHeight="1">
      <c r="G871" s="55"/>
    </row>
    <row r="872" ht="14.25" customHeight="1">
      <c r="G872" s="55"/>
    </row>
    <row r="873" ht="14.25" customHeight="1">
      <c r="G873" s="55"/>
    </row>
    <row r="874" ht="14.25" customHeight="1">
      <c r="G874" s="55"/>
    </row>
    <row r="875" ht="14.25" customHeight="1">
      <c r="G875" s="55"/>
    </row>
    <row r="876" ht="14.25" customHeight="1">
      <c r="G876" s="55"/>
    </row>
    <row r="877" ht="14.25" customHeight="1">
      <c r="G877" s="55"/>
    </row>
    <row r="878" ht="14.25" customHeight="1">
      <c r="G878" s="55"/>
    </row>
    <row r="879" ht="14.25" customHeight="1">
      <c r="G879" s="55"/>
    </row>
    <row r="880" ht="14.25" customHeight="1">
      <c r="G880" s="55"/>
    </row>
    <row r="881" ht="14.25" customHeight="1">
      <c r="G881" s="55"/>
    </row>
    <row r="882" ht="14.25" customHeight="1">
      <c r="G882" s="55"/>
    </row>
    <row r="883" ht="14.25" customHeight="1">
      <c r="G883" s="55"/>
    </row>
    <row r="884" ht="14.25" customHeight="1">
      <c r="G884" s="55"/>
    </row>
    <row r="885" ht="14.25" customHeight="1">
      <c r="G885" s="55"/>
    </row>
    <row r="886" ht="14.25" customHeight="1">
      <c r="G886" s="55"/>
    </row>
    <row r="887" ht="14.25" customHeight="1">
      <c r="G887" s="55"/>
    </row>
    <row r="888" ht="14.25" customHeight="1">
      <c r="G888" s="55"/>
    </row>
    <row r="889" ht="14.25" customHeight="1">
      <c r="G889" s="55"/>
    </row>
    <row r="890" ht="14.25" customHeight="1">
      <c r="G890" s="55"/>
    </row>
    <row r="891" ht="14.25" customHeight="1">
      <c r="G891" s="55"/>
    </row>
    <row r="892" ht="14.25" customHeight="1">
      <c r="G892" s="55"/>
    </row>
    <row r="893" ht="14.25" customHeight="1">
      <c r="G893" s="55"/>
    </row>
    <row r="894" ht="14.25" customHeight="1">
      <c r="G894" s="55"/>
    </row>
    <row r="895" ht="14.25" customHeight="1">
      <c r="G895" s="55"/>
    </row>
    <row r="896" ht="14.25" customHeight="1">
      <c r="G896" s="55"/>
    </row>
    <row r="897" ht="14.25" customHeight="1">
      <c r="G897" s="55"/>
    </row>
    <row r="898" ht="14.25" customHeight="1">
      <c r="G898" s="55"/>
    </row>
    <row r="899" ht="14.25" customHeight="1">
      <c r="G899" s="55"/>
    </row>
    <row r="900" ht="14.25" customHeight="1">
      <c r="G900" s="55"/>
    </row>
    <row r="901" ht="14.25" customHeight="1">
      <c r="G901" s="55"/>
    </row>
    <row r="902" ht="14.25" customHeight="1">
      <c r="G902" s="55"/>
    </row>
    <row r="903" ht="14.25" customHeight="1">
      <c r="G903" s="55"/>
    </row>
    <row r="904" ht="14.25" customHeight="1">
      <c r="G904" s="55"/>
    </row>
    <row r="905" ht="14.25" customHeight="1">
      <c r="G905" s="55"/>
    </row>
    <row r="906" ht="14.25" customHeight="1">
      <c r="G906" s="55"/>
    </row>
    <row r="907" ht="14.25" customHeight="1">
      <c r="G907" s="55"/>
    </row>
    <row r="908" ht="14.25" customHeight="1">
      <c r="G908" s="55"/>
    </row>
    <row r="909" ht="14.25" customHeight="1">
      <c r="G909" s="55"/>
    </row>
  </sheetData>
  <mergeCells count="5">
    <mergeCell ref="F6:G6"/>
    <mergeCell ref="F8:G8"/>
    <mergeCell ref="B10:B13"/>
    <mergeCell ref="B16:B19"/>
    <mergeCell ref="B21:B22"/>
  </mergeCells>
  <conditionalFormatting sqref="C1">
    <cfRule type="notContainsBlanks" dxfId="8" priority="1">
      <formula>LEN(TRIM(C1))&gt;0</formula>
    </cfRule>
  </conditionalFormatting>
  <dataValidations>
    <dataValidation type="list" allowBlank="1" sqref="C36">
      <formula1>"Gross Margin,Net Margin"</formula1>
    </dataValidation>
    <dataValidation type="list" allowBlank="1" sqref="C3">
      <formula1>"Nómina,Prestación de Servicios,Deel/Ontop"</formula1>
    </dataValidation>
    <dataValidation type="list" allowBlank="1" showErrorMessage="1" sqref="D25:D32">
      <formula1>"Nómina,P. Servicios"</formula1>
    </dataValidation>
    <dataValidation type="list" allowBlank="1" sqref="B25:B32">
      <formula1>'Parámetros'!$A$2:$A$113</formula1>
    </dataValidation>
    <dataValidation type="list" allowBlank="1" sqref="C2">
      <formula1>'Parámetros'!$A$118:$A$123</formula1>
    </dataValidation>
    <dataValidation type="list" allowBlank="1" sqref="D36">
      <formula1>"COP,USD"</formula1>
    </dataValidation>
  </dataValidations>
  <printOptions/>
  <pageMargins bottom="0.75" footer="0.0" header="0.0" left="0.7" right="0.7" top="0.75"/>
  <pageSetup orientation="portrait"/>
  <drawing r:id="rId1"/>
  <tableParts count="3">
    <tablePart r:id="rId5"/>
    <tablePart r:id="rId6"/>
    <tablePart r:id="rId7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4.14"/>
    <col customWidth="1" min="2" max="2" width="32.29"/>
    <col customWidth="1" min="3" max="3" width="23.14"/>
    <col customWidth="1" min="4" max="4" width="16.29"/>
    <col customWidth="1" min="5" max="5" width="14.86"/>
    <col customWidth="1" min="6" max="6" width="18.0"/>
    <col customWidth="1" min="7" max="7" width="16.29"/>
    <col customWidth="1" min="8" max="8" width="15.14"/>
    <col customWidth="1" min="9" max="9" width="12.0"/>
    <col customWidth="1" min="10" max="10" width="26.57"/>
    <col customWidth="1" min="11" max="11" width="14.86"/>
    <col customWidth="1" min="12" max="12" width="14.71"/>
    <col customWidth="1" min="13" max="13" width="17.29"/>
    <col customWidth="1" min="14" max="14" width="15.57"/>
    <col customWidth="1" min="15" max="15" width="10.71"/>
    <col customWidth="1" min="16" max="16" width="23.14"/>
    <col customWidth="1" min="17" max="17" width="17.57"/>
    <col customWidth="1" min="18" max="18" width="15.71"/>
    <col customWidth="1" min="19" max="19" width="18.86"/>
    <col customWidth="1" hidden="1" min="20" max="20" width="13.71"/>
    <col customWidth="1" hidden="1" min="21" max="21" width="13.43"/>
    <col customWidth="1" hidden="1" min="22" max="32" width="10.71"/>
  </cols>
  <sheetData>
    <row r="1" ht="8.25" customHeight="1">
      <c r="A1" s="200"/>
      <c r="B1" s="200"/>
      <c r="C1" s="200"/>
      <c r="D1" s="200"/>
      <c r="E1" s="200"/>
      <c r="F1" s="200"/>
      <c r="G1" s="201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</row>
    <row r="2" ht="15.75" customHeight="1">
      <c r="A2" s="200"/>
      <c r="B2" s="202" t="s">
        <v>150</v>
      </c>
      <c r="C2" s="203" t="s">
        <v>94</v>
      </c>
      <c r="D2" s="16"/>
      <c r="E2" s="200"/>
      <c r="F2" s="200"/>
      <c r="G2" s="205"/>
      <c r="H2" s="206"/>
      <c r="I2" s="206"/>
      <c r="J2" s="207"/>
      <c r="K2" s="206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0"/>
      <c r="AD2" s="200"/>
      <c r="AE2" s="200"/>
      <c r="AF2" s="200"/>
    </row>
    <row r="3" ht="15.75" customHeight="1">
      <c r="A3" s="200"/>
      <c r="B3" s="202" t="s">
        <v>25</v>
      </c>
      <c r="C3" s="208" t="s">
        <v>151</v>
      </c>
      <c r="D3" s="16"/>
      <c r="E3" s="200"/>
      <c r="F3" s="209"/>
      <c r="G3" s="210"/>
      <c r="H3" s="200"/>
      <c r="I3" s="200"/>
      <c r="J3" s="211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200"/>
    </row>
    <row r="4" ht="15.75" customHeight="1">
      <c r="A4" s="200"/>
      <c r="B4" s="202" t="s">
        <v>27</v>
      </c>
      <c r="C4" s="307">
        <f>VLOOKUP(C2,'Parámetros'!$A$118:$B$124,2,0)*IF(C3="Nómina",1.38522,IF(C3="Prestación de Servicios",1,1.15))</f>
        <v>0.115</v>
      </c>
      <c r="D4" s="16"/>
      <c r="E4" s="200"/>
      <c r="H4" s="200"/>
      <c r="I4" s="200"/>
      <c r="J4" s="211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</row>
    <row r="5" ht="15.75" customHeight="1">
      <c r="A5" s="200"/>
      <c r="B5" s="202" t="s">
        <v>28</v>
      </c>
      <c r="C5" s="218">
        <v>0.0</v>
      </c>
      <c r="D5" s="16"/>
      <c r="E5" s="200"/>
      <c r="F5" s="219" t="s">
        <v>155</v>
      </c>
      <c r="G5" s="220">
        <f>VLOOKUP($C$2,'Parámetros'!$A$118:$D$124,3,0)</f>
        <v>0.4</v>
      </c>
      <c r="H5" s="200"/>
      <c r="I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</row>
    <row r="6" ht="15.75" customHeight="1">
      <c r="A6" s="200"/>
      <c r="B6" s="202" t="s">
        <v>157</v>
      </c>
      <c r="C6" s="222"/>
      <c r="D6" s="16"/>
      <c r="E6" s="200"/>
      <c r="F6" s="221" t="str">
        <f>IF(D10&gt;=G5,"Dentro del margen","¡Por debajo del margen!")</f>
        <v>Dentro del margen</v>
      </c>
      <c r="H6" s="200"/>
      <c r="I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0"/>
      <c r="AA6" s="200"/>
      <c r="AB6" s="200"/>
      <c r="AC6" s="200"/>
      <c r="AD6" s="200"/>
      <c r="AE6" s="200"/>
      <c r="AF6" s="200"/>
    </row>
    <row r="7" ht="15.75" customHeight="1">
      <c r="A7" s="200"/>
      <c r="B7" s="202" t="s">
        <v>158</v>
      </c>
      <c r="C7" s="208">
        <v>1.0</v>
      </c>
      <c r="D7" s="16"/>
      <c r="E7" s="200"/>
      <c r="H7" s="223"/>
      <c r="I7" s="223"/>
      <c r="J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  <c r="AA7" s="200"/>
      <c r="AB7" s="200"/>
      <c r="AC7" s="200"/>
      <c r="AD7" s="200"/>
      <c r="AE7" s="200"/>
      <c r="AF7" s="200"/>
    </row>
    <row r="8" ht="15.75" customHeight="1">
      <c r="A8" s="200"/>
      <c r="B8" s="224"/>
      <c r="C8" s="16"/>
      <c r="D8" s="16"/>
      <c r="E8" s="200"/>
      <c r="F8" s="202" t="s">
        <v>44</v>
      </c>
      <c r="G8" s="225" t="s">
        <v>45</v>
      </c>
      <c r="H8" s="223"/>
      <c r="I8" s="223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</row>
    <row r="9" ht="13.5" customHeight="1">
      <c r="B9" s="226" t="s">
        <v>7</v>
      </c>
      <c r="C9" s="17" t="s">
        <v>6</v>
      </c>
      <c r="D9" s="227">
        <f>F9*C4</f>
        <v>290179.665</v>
      </c>
      <c r="E9" s="228" t="s">
        <v>194</v>
      </c>
      <c r="F9" s="320">
        <f>(C53+C49+C51)/((1-D10-'Parámetros'!L8*C5))</f>
        <v>2523301.435</v>
      </c>
      <c r="G9" s="321">
        <f>F9/'Parámetros'!$L$3</f>
        <v>710.7891366</v>
      </c>
      <c r="I9" s="23"/>
      <c r="M9" s="23"/>
      <c r="N9" s="24"/>
      <c r="O9" s="24"/>
    </row>
    <row r="10" ht="15.0" customHeight="1">
      <c r="B10" s="27"/>
      <c r="C10" s="17" t="s">
        <v>9</v>
      </c>
      <c r="D10" s="231">
        <v>0.4</v>
      </c>
      <c r="E10" s="228" t="s">
        <v>195</v>
      </c>
      <c r="F10" s="320">
        <f>F9/C7</f>
        <v>2523301.435</v>
      </c>
      <c r="G10" s="321">
        <f>F10/'Parámetros'!$L$3</f>
        <v>710.7891366</v>
      </c>
      <c r="M10" s="23"/>
      <c r="N10" s="24"/>
      <c r="O10" s="24"/>
    </row>
    <row r="11" ht="17.25" customHeight="1">
      <c r="B11" s="27"/>
      <c r="C11" s="17" t="s">
        <v>15</v>
      </c>
      <c r="D11" s="227">
        <f>F9*'Parámetros'!L5</f>
        <v>17410.7799</v>
      </c>
      <c r="E11" s="228" t="s">
        <v>197</v>
      </c>
      <c r="F11" s="320">
        <f>F9/SUM(D38:D44)</f>
        <v>2002.620187</v>
      </c>
      <c r="G11" s="331">
        <f>G9/SUM(D38:D44)</f>
        <v>0.5641183624</v>
      </c>
      <c r="L11" s="22"/>
      <c r="O11" s="28"/>
      <c r="P11" s="28"/>
      <c r="Q11" s="28"/>
    </row>
    <row r="12" ht="14.25" customHeight="1">
      <c r="B12" s="43"/>
      <c r="C12" s="17" t="s">
        <v>18</v>
      </c>
      <c r="D12" s="240">
        <f>(F9-C54-D11-D9-C5*'Parámetros'!L8*F9)/F9</f>
        <v>0.01508001173</v>
      </c>
      <c r="G12" s="55"/>
      <c r="L12" s="32"/>
      <c r="M12" s="33"/>
      <c r="O12" s="28"/>
      <c r="P12" s="28"/>
      <c r="Q12" s="28"/>
    </row>
    <row r="13" ht="14.25" customHeight="1">
      <c r="D13" s="235"/>
      <c r="F13" s="236"/>
      <c r="G13" s="55"/>
      <c r="H13" s="237"/>
      <c r="I13" s="237"/>
      <c r="J13" s="237"/>
      <c r="L13" s="32"/>
      <c r="M13" s="37"/>
      <c r="N13" s="38"/>
      <c r="O13" s="39"/>
    </row>
    <row r="14" ht="14.25" customHeight="1">
      <c r="F14" s="236"/>
      <c r="G14" s="55"/>
      <c r="L14" s="22"/>
    </row>
    <row r="15" ht="15.75" customHeight="1">
      <c r="B15" s="226" t="s">
        <v>22</v>
      </c>
      <c r="C15" s="17" t="s">
        <v>6</v>
      </c>
      <c r="D15" s="227">
        <f>F15*C4</f>
        <v>459367.3893</v>
      </c>
      <c r="E15" s="228" t="s">
        <v>194</v>
      </c>
      <c r="F15" s="320">
        <f>+(C54/(1-C4-D16-'Parámetros'!L5-C5*'Parámetros'!L8))</f>
        <v>3994499.038</v>
      </c>
      <c r="G15" s="321">
        <f>F15/'Parámetros'!L3</f>
        <v>1125.210997</v>
      </c>
      <c r="L15" s="22"/>
    </row>
    <row r="16" ht="16.5" customHeight="1">
      <c r="B16" s="27"/>
      <c r="C16" s="17" t="s">
        <v>18</v>
      </c>
      <c r="D16" s="231">
        <v>0.3329353737535529</v>
      </c>
      <c r="E16" s="228" t="s">
        <v>195</v>
      </c>
      <c r="F16" s="320">
        <f>F15/C7</f>
        <v>3994499.038</v>
      </c>
      <c r="G16" s="321">
        <f>G15/C7</f>
        <v>1125.210997</v>
      </c>
      <c r="L16" s="32"/>
      <c r="M16" s="33"/>
    </row>
    <row r="17" ht="17.25" customHeight="1">
      <c r="B17" s="27"/>
      <c r="C17" s="17" t="s">
        <v>15</v>
      </c>
      <c r="D17" s="227">
        <f>F15*'Parámetros'!L5</f>
        <v>27562.04336</v>
      </c>
      <c r="E17" s="228" t="s">
        <v>197</v>
      </c>
      <c r="F17" s="320">
        <f>F15/SUM(D38:D44)</f>
        <v>3170.237331</v>
      </c>
      <c r="G17" s="321">
        <f>G15/SUM(D38:D44)</f>
        <v>0.8930246004</v>
      </c>
      <c r="L17" s="22"/>
      <c r="M17" s="55"/>
    </row>
    <row r="18" ht="14.25" customHeight="1">
      <c r="B18" s="43"/>
      <c r="C18" s="17" t="s">
        <v>9</v>
      </c>
      <c r="D18" s="240">
        <f>(F15-C49-C51-C53-C5*'Parámetros'!L8*F15)/F15</f>
        <v>0.6209835459</v>
      </c>
      <c r="E18" s="241"/>
      <c r="G18" s="55"/>
    </row>
    <row r="19" ht="14.25" customHeight="1">
      <c r="G19" s="55"/>
    </row>
    <row r="20" ht="14.25" customHeight="1">
      <c r="B20" s="243" t="str">
        <f>'Parámetros'!B149</f>
        <v>Considerar como mínimo por cada Dev: 
 PM:33%, QA:20%, Diseño:10%</v>
      </c>
      <c r="C20" s="244"/>
      <c r="G20" s="55"/>
      <c r="M20" s="245"/>
    </row>
    <row r="21" ht="15.75" customHeight="1">
      <c r="B21" s="246"/>
      <c r="C21" s="244"/>
      <c r="G21" s="55"/>
    </row>
    <row r="22" ht="15.75" customHeight="1">
      <c r="E22" s="332">
        <f>SUM(E24:E31)*C7*100%</f>
        <v>7</v>
      </c>
      <c r="G22" s="248"/>
    </row>
    <row r="23" ht="14.25" customHeight="1">
      <c r="B23" s="249" t="s">
        <v>31</v>
      </c>
      <c r="C23" s="249" t="s">
        <v>32</v>
      </c>
      <c r="D23" s="249" t="s">
        <v>33</v>
      </c>
      <c r="E23" s="250" t="s">
        <v>35</v>
      </c>
      <c r="F23" s="249" t="s">
        <v>202</v>
      </c>
      <c r="G23" s="333" t="s">
        <v>37</v>
      </c>
      <c r="H23" s="334"/>
      <c r="I23" s="146"/>
      <c r="J23" s="146"/>
      <c r="L23" s="67"/>
    </row>
    <row r="24" ht="14.25" customHeight="1">
      <c r="A24" s="251">
        <f>IFERROR(__xludf.DUMMYFUNCTION("COUNTIF(SPLIT(B24,"" ""),""Developer"")"),0.0)</f>
        <v>0</v>
      </c>
      <c r="B24" s="304" t="s">
        <v>203</v>
      </c>
      <c r="C24" s="68" t="str">
        <f>IFERROR(VLOOKUP(B24,'Parámetros'!A$1:B113,2, FALSE),"")</f>
        <v/>
      </c>
      <c r="D24" s="208" t="s">
        <v>41</v>
      </c>
      <c r="E24" s="258">
        <v>1.0</v>
      </c>
      <c r="F24" s="68">
        <f t="shared" ref="F24:F30" si="1">+IFERROR(IF(D24="Nómina",C24*1.38352,C24),"")*E24*$C$7</f>
        <v>0</v>
      </c>
      <c r="G24" s="335">
        <f>F24/(AVERAGE('Parámetros'!$F$5:$F$6)+$F$32)</f>
        <v>0</v>
      </c>
      <c r="H24" s="336"/>
      <c r="I24" s="146"/>
      <c r="J24" s="211"/>
      <c r="L24" s="73"/>
    </row>
    <row r="25" ht="14.25" customHeight="1">
      <c r="A25" s="251">
        <f>IFERROR(__xludf.DUMMYFUNCTION("COUNTIF(SPLIT(B25,"" ""),""Developer"")"),0.0)</f>
        <v>0</v>
      </c>
      <c r="B25" s="304" t="s">
        <v>204</v>
      </c>
      <c r="C25" s="68" t="str">
        <f>IFERROR(VLOOKUP(B25,'Parámetros'!A$1:B113,2, FALSE),"")</f>
        <v/>
      </c>
      <c r="D25" s="208" t="s">
        <v>41</v>
      </c>
      <c r="E25" s="258">
        <v>1.0</v>
      </c>
      <c r="F25" s="68">
        <f t="shared" si="1"/>
        <v>0</v>
      </c>
      <c r="G25" s="335">
        <f>F25/(AVERAGE('Parámetros'!$F$5:$F$6)+$F$32)</f>
        <v>0</v>
      </c>
      <c r="H25" s="336"/>
      <c r="I25" s="146"/>
      <c r="J25" s="146"/>
      <c r="L25" s="73"/>
      <c r="R25" s="74"/>
    </row>
    <row r="26" ht="14.25" customHeight="1">
      <c r="A26" s="251"/>
      <c r="B26" s="304" t="s">
        <v>205</v>
      </c>
      <c r="C26" s="68" t="str">
        <f>IFERROR(VLOOKUP(B26,'Parámetros'!A$1:B113,2, FALSE),"")</f>
        <v/>
      </c>
      <c r="D26" s="208" t="s">
        <v>41</v>
      </c>
      <c r="E26" s="258">
        <v>1.0</v>
      </c>
      <c r="F26" s="68">
        <f t="shared" si="1"/>
        <v>0</v>
      </c>
      <c r="G26" s="335">
        <f>F26/(AVERAGE('Parámetros'!$F$5:$F$6)+$F$32)</f>
        <v>0</v>
      </c>
      <c r="H26" s="336"/>
      <c r="I26" s="146"/>
      <c r="J26" s="146"/>
      <c r="L26" s="73"/>
    </row>
    <row r="27" ht="14.25" customHeight="1">
      <c r="A27" s="251">
        <f>IFERROR(__xludf.DUMMYFUNCTION("COUNTIF(SPLIT(B27,"" ""),""Developer"")"),0.0)</f>
        <v>0</v>
      </c>
      <c r="B27" s="304" t="s">
        <v>206</v>
      </c>
      <c r="C27" s="68" t="str">
        <f>IFERROR(VLOOKUP(B27,'Parámetros'!A$1:B114,2, FALSE),"")</f>
        <v/>
      </c>
      <c r="D27" s="208" t="s">
        <v>41</v>
      </c>
      <c r="E27" s="258">
        <v>1.0</v>
      </c>
      <c r="F27" s="68">
        <f t="shared" si="1"/>
        <v>0</v>
      </c>
      <c r="G27" s="335">
        <f>F27/(AVERAGE('Parámetros'!$F$5:$F$6)+$F$32)</f>
        <v>0</v>
      </c>
      <c r="H27" s="336"/>
      <c r="I27" s="146"/>
      <c r="J27" s="146"/>
      <c r="L27" s="73"/>
    </row>
    <row r="28" ht="14.25" customHeight="1">
      <c r="A28" s="251">
        <f>IFERROR(__xludf.DUMMYFUNCTION("COUNTIF(SPLIT(B28,"" ""),""Developer"")"),0.0)</f>
        <v>0</v>
      </c>
      <c r="B28" s="304" t="s">
        <v>207</v>
      </c>
      <c r="C28" s="68">
        <f>IFERROR(VLOOKUP(B28,'Parámetros'!A$1:B115,2, FALSE),"")+1000000</f>
        <v>1000000</v>
      </c>
      <c r="D28" s="208" t="s">
        <v>41</v>
      </c>
      <c r="E28" s="258">
        <v>1.0</v>
      </c>
      <c r="F28" s="68">
        <f t="shared" si="1"/>
        <v>1383520</v>
      </c>
      <c r="G28" s="335">
        <f>F28/(AVERAGE('Parámetros'!$F$5:$F$6)+$F$32)</f>
        <v>0.004125719745</v>
      </c>
      <c r="H28" s="336"/>
      <c r="I28" s="146"/>
      <c r="J28" s="146"/>
      <c r="L28" s="73"/>
    </row>
    <row r="29" ht="14.25" customHeight="1">
      <c r="A29" s="251">
        <f>IFERROR(__xludf.DUMMYFUNCTION("COUNTIF(SPLIT(B29,"" ""),""Developer"")"),0.0)</f>
        <v>0</v>
      </c>
      <c r="B29" s="304" t="s">
        <v>208</v>
      </c>
      <c r="C29" s="68" t="str">
        <f>IFERROR(VLOOKUP(B29,'Parámetros'!A$1:B116,2, FALSE),"")</f>
        <v/>
      </c>
      <c r="D29" s="208" t="s">
        <v>41</v>
      </c>
      <c r="E29" s="258">
        <v>1.0</v>
      </c>
      <c r="F29" s="68">
        <f t="shared" si="1"/>
        <v>0</v>
      </c>
      <c r="G29" s="335">
        <f>F29/(AVERAGE('Parámetros'!$F$5:$F$6)+$F$32)</f>
        <v>0</v>
      </c>
      <c r="H29" s="336"/>
      <c r="I29" s="146"/>
      <c r="J29" s="146"/>
      <c r="K29" s="146"/>
    </row>
    <row r="30" ht="14.25" customHeight="1">
      <c r="A30" s="251">
        <f>IFERROR(__xludf.DUMMYFUNCTION("COUNTIF(SPLIT(B30,"" ""),""Developer"")"),0.0)</f>
        <v>0</v>
      </c>
      <c r="B30" s="304" t="s">
        <v>209</v>
      </c>
      <c r="C30" s="68" t="str">
        <f>IFERROR(VLOOKUP(B30,'Parámetros'!A$1:B117,2, FALSE),"")</f>
        <v/>
      </c>
      <c r="D30" s="208" t="s">
        <v>41</v>
      </c>
      <c r="E30" s="258">
        <v>1.0</v>
      </c>
      <c r="F30" s="68">
        <f t="shared" si="1"/>
        <v>0</v>
      </c>
      <c r="G30" s="335">
        <f>F30/(AVERAGE('Parámetros'!$F$5:$F$6)+$F$32)</f>
        <v>0</v>
      </c>
      <c r="H30" s="336"/>
      <c r="I30" s="146"/>
      <c r="J30" s="146"/>
      <c r="K30" s="146"/>
    </row>
    <row r="31" ht="14.25" customHeight="1">
      <c r="A31" s="251">
        <f>IFERROR(__xludf.DUMMYFUNCTION("COUNTIF(SPLIT(B31,"" ""),""Developer"")"),0.0)</f>
        <v>0</v>
      </c>
      <c r="B31" s="304"/>
      <c r="C31" s="68" t="str">
        <f>iferror(VLOOKUP(B31,'Parámetros'!A$1:B127,2, FALSE),"")</f>
        <v/>
      </c>
      <c r="D31" s="208"/>
      <c r="E31" s="258"/>
      <c r="F31" s="68">
        <f>+IFERROR(IF(D31="Nómina",C31*1.38352,C31),"")*E31*$C$7*105%</f>
        <v>0</v>
      </c>
      <c r="G31" s="335">
        <f>F31/(AVERAGE('Parámetros'!$F$5:$F$6)+$F$32)</f>
        <v>0</v>
      </c>
      <c r="H31" s="336"/>
      <c r="I31" s="146"/>
      <c r="J31" s="146"/>
      <c r="K31" s="146"/>
    </row>
    <row r="32" ht="14.25" customHeight="1">
      <c r="F32" s="259">
        <f t="shared" ref="F32:G32" si="2">SUM(F24:F31)</f>
        <v>1383520</v>
      </c>
      <c r="G32" s="337">
        <f t="shared" si="2"/>
        <v>0.004125719745</v>
      </c>
      <c r="H32" s="338"/>
      <c r="M32" s="90"/>
      <c r="N32" s="91"/>
      <c r="O32" s="92"/>
      <c r="P32" s="93"/>
      <c r="Q32" s="94"/>
    </row>
    <row r="33" ht="14.25" customHeight="1">
      <c r="G33" s="55"/>
    </row>
    <row r="34" ht="14.25" customHeight="1">
      <c r="G34" s="55"/>
    </row>
    <row r="35" ht="14.25" customHeight="1">
      <c r="C35" s="261" t="s">
        <v>9</v>
      </c>
      <c r="D35" s="261" t="s">
        <v>45</v>
      </c>
      <c r="G35" s="55"/>
    </row>
    <row r="36" ht="14.25" customHeight="1">
      <c r="F36" s="97"/>
      <c r="G36" s="55"/>
    </row>
    <row r="37" ht="14.25" customHeight="1">
      <c r="B37" s="262" t="s">
        <v>31</v>
      </c>
      <c r="C37" s="261" t="s">
        <v>35</v>
      </c>
      <c r="D37" s="291" t="s">
        <v>48</v>
      </c>
      <c r="E37" s="292" t="s">
        <v>50</v>
      </c>
      <c r="F37" s="292" t="s">
        <v>159</v>
      </c>
      <c r="G37" s="55"/>
    </row>
    <row r="38" ht="14.25" customHeight="1">
      <c r="B38" s="264" t="str">
        <f t="shared" ref="B38:B44" si="3">B24</f>
        <v>Dilan Joel Bergaño Caicedo</v>
      </c>
      <c r="C38" s="265">
        <f t="shared" ref="C38:C44" si="4">E24</f>
        <v>1</v>
      </c>
      <c r="D38" s="268">
        <f t="shared" ref="D38:D44" si="5">C38*180</f>
        <v>180</v>
      </c>
      <c r="E38" s="267">
        <f>IFERROR((IF($C$35="Gross Margin",F24/$F$32*$F$9,IF($C$35="Net Margin",F24/$F$32*$F$15,"Error")))/D38,"")/IF($D$35="USD",'Parámetros'!$L$3,1)</f>
        <v>0</v>
      </c>
      <c r="F38" s="267">
        <f t="shared" ref="F38:F44" si="6">E38*D38</f>
        <v>0</v>
      </c>
      <c r="G38" s="55"/>
    </row>
    <row r="39" ht="14.25" customHeight="1">
      <c r="B39" s="264" t="str">
        <f t="shared" si="3"/>
        <v>Jeiner Alexis Bustos Quipo</v>
      </c>
      <c r="C39" s="265">
        <f t="shared" si="4"/>
        <v>1</v>
      </c>
      <c r="D39" s="268">
        <f t="shared" si="5"/>
        <v>180</v>
      </c>
      <c r="E39" s="267">
        <f>IFERROR((IF($C$35="Gross Margin",F25/$F$32*$F$9,IF($C$35="Net Margin",F25/$F$32*$F$15,"Error")))/D39,"")/IF($D$35="USD",'Parámetros'!$L$3,1)</f>
        <v>0</v>
      </c>
      <c r="F39" s="267">
        <f t="shared" si="6"/>
        <v>0</v>
      </c>
      <c r="G39" s="55"/>
    </row>
    <row r="40" ht="14.25" customHeight="1">
      <c r="B40" s="264" t="str">
        <f t="shared" si="3"/>
        <v>Mario Alfonso Garcia Marquez</v>
      </c>
      <c r="C40" s="265">
        <f t="shared" si="4"/>
        <v>1</v>
      </c>
      <c r="D40" s="268">
        <f t="shared" si="5"/>
        <v>180</v>
      </c>
      <c r="E40" s="267">
        <f>IFERROR((IF($C$35="Gross Margin",F26/$F$32*$F$9,IF($C$35="Net Margin",F26/$F$32*$F$15,"Error")))/D40,"")/IF($D$35="USD",'Parámetros'!$L$3,1)</f>
        <v>0</v>
      </c>
      <c r="F40" s="267">
        <f t="shared" si="6"/>
        <v>0</v>
      </c>
      <c r="G40" s="23"/>
    </row>
    <row r="41" ht="14.25" customHeight="1">
      <c r="B41" s="264" t="str">
        <f t="shared" si="3"/>
        <v>Carolina Andrea Capote Alfonso</v>
      </c>
      <c r="C41" s="265">
        <f t="shared" si="4"/>
        <v>1</v>
      </c>
      <c r="D41" s="268">
        <f t="shared" si="5"/>
        <v>180</v>
      </c>
      <c r="E41" s="267">
        <f>IFERROR((IF($C$35="Gross Margin",F27/$F$32*$F$9,IF($C$35="Net Margin",F27/$F$32*$F$15,"Error")))/D41,"")/IF($D$35="USD",'Parámetros'!$L$3,1)</f>
        <v>0</v>
      </c>
      <c r="F41" s="267">
        <f t="shared" si="6"/>
        <v>0</v>
      </c>
      <c r="G41" s="23"/>
    </row>
    <row r="42" ht="14.25" customHeight="1">
      <c r="B42" s="264" t="str">
        <f t="shared" si="3"/>
        <v>Juan David García Ocampo</v>
      </c>
      <c r="C42" s="265">
        <f t="shared" si="4"/>
        <v>1</v>
      </c>
      <c r="D42" s="268">
        <f t="shared" si="5"/>
        <v>180</v>
      </c>
      <c r="E42" s="267">
        <f>IFERROR((IF($C$35="Gross Margin",F28/$F$32*$F$9,IF($C$35="Net Margin",F28/$F$32*$F$15,"Error")))/D42,"")/IF($D$35="USD",'Parámetros'!$L$3,1)</f>
        <v>3.948828537</v>
      </c>
      <c r="F42" s="267">
        <f t="shared" si="6"/>
        <v>710.7891366</v>
      </c>
      <c r="G42" s="55"/>
    </row>
    <row r="43" ht="14.25" customHeight="1">
      <c r="B43" s="264" t="str">
        <f t="shared" si="3"/>
        <v>Diego Alejandro  Cadena Diaz</v>
      </c>
      <c r="C43" s="265">
        <f t="shared" si="4"/>
        <v>1</v>
      </c>
      <c r="D43" s="268">
        <f t="shared" si="5"/>
        <v>180</v>
      </c>
      <c r="E43" s="267">
        <f>IFERROR((IF($C$35="Gross Margin",F29/$F$32*$F$9,IF($C$35="Net Margin",F29/$F$32*$F$15,"Error")))/D43,"")/IF($D$35="USD",'Parámetros'!$L$3,1)</f>
        <v>0</v>
      </c>
      <c r="F43" s="267">
        <f t="shared" si="6"/>
        <v>0</v>
      </c>
      <c r="G43" s="55"/>
    </row>
    <row r="44" ht="14.25" customHeight="1">
      <c r="B44" s="264" t="str">
        <f t="shared" si="3"/>
        <v>Julian Alberto Ardila Arguello</v>
      </c>
      <c r="C44" s="265">
        <f t="shared" si="4"/>
        <v>1</v>
      </c>
      <c r="D44" s="268">
        <f t="shared" si="5"/>
        <v>180</v>
      </c>
      <c r="E44" s="267">
        <f>IFERROR((IF($C$35="Gross Margin",F30/$F$32*$F$9,IF($C$35="Net Margin",F30/$F$32*$F$15,"Error")))/D44,"")/IF($D$35="USD",'Parámetros'!$L$3,1)</f>
        <v>0</v>
      </c>
      <c r="F44" s="267">
        <f t="shared" si="6"/>
        <v>0</v>
      </c>
      <c r="G44" s="55"/>
    </row>
    <row r="45" ht="14.25" customHeight="1">
      <c r="G45" s="55"/>
    </row>
    <row r="46" ht="14.25" customHeight="1">
      <c r="G46" s="55"/>
    </row>
    <row r="47" ht="14.25" customHeight="1">
      <c r="G47" s="55"/>
    </row>
    <row r="48" ht="14.25" customHeight="1">
      <c r="B48" s="339" t="s">
        <v>11</v>
      </c>
      <c r="C48" s="340"/>
      <c r="D48" s="341"/>
      <c r="G48" s="55"/>
    </row>
    <row r="49" ht="14.25" customHeight="1" outlineLevel="1">
      <c r="A49" s="33"/>
      <c r="B49" s="342" t="s">
        <v>14</v>
      </c>
      <c r="C49" s="343">
        <f>F32</f>
        <v>1383520</v>
      </c>
      <c r="D49" s="287"/>
      <c r="E49" s="33"/>
      <c r="F49" s="33"/>
      <c r="G49" s="37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</row>
    <row r="50" ht="14.25" customHeight="1" outlineLevel="1">
      <c r="A50" s="33"/>
      <c r="B50" s="344" t="s">
        <v>17</v>
      </c>
      <c r="C50" s="345">
        <f>C52+C53+C51</f>
        <v>794139.5749</v>
      </c>
      <c r="D50" s="287"/>
      <c r="E50" s="33"/>
      <c r="F50" s="33"/>
      <c r="G50" s="37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</row>
    <row r="51" ht="14.25" customHeight="1" outlineLevel="1">
      <c r="B51" s="346" t="s">
        <v>19</v>
      </c>
      <c r="C51" s="347"/>
      <c r="D51" s="146"/>
      <c r="G51" s="55"/>
    </row>
    <row r="52" ht="14.25" customHeight="1" outlineLevel="1">
      <c r="B52" s="348" t="s">
        <v>20</v>
      </c>
      <c r="C52" s="349">
        <f>G32*AVERAGE('Parámetros'!G5:G7)*IF(C2="Network",15%,100%)*IF(C2="Enterprise",40%,100%)</f>
        <v>663678.7138</v>
      </c>
      <c r="D52" s="350"/>
      <c r="G52" s="55"/>
    </row>
    <row r="53" ht="14.25" customHeight="1" outlineLevel="1">
      <c r="B53" s="346" t="s">
        <v>21</v>
      </c>
      <c r="C53" s="347">
        <f>G32*AVERAGE('Parámetros'!H5:H7)*IF(C2="Network",15%,100%)</f>
        <v>130460.8611</v>
      </c>
      <c r="D53" s="350"/>
      <c r="G53" s="55"/>
    </row>
    <row r="54" ht="14.25" customHeight="1">
      <c r="B54" s="351" t="s">
        <v>23</v>
      </c>
      <c r="C54" s="345">
        <f>C49+C50</f>
        <v>2177659.575</v>
      </c>
      <c r="D54" s="287"/>
      <c r="G54" s="55"/>
    </row>
    <row r="55" ht="14.25" customHeight="1">
      <c r="D55" s="146"/>
      <c r="G55" s="55"/>
    </row>
    <row r="56">
      <c r="D56" s="146"/>
      <c r="G56" s="55"/>
    </row>
    <row r="57" ht="14.25" customHeight="1">
      <c r="G57" s="55"/>
    </row>
    <row r="58" ht="14.25" customHeight="1">
      <c r="G58" s="55"/>
    </row>
    <row r="59" ht="14.25" customHeight="1">
      <c r="G59" s="55"/>
    </row>
    <row r="60" ht="14.25" customHeight="1">
      <c r="G60" s="55"/>
    </row>
    <row r="61" ht="14.25" customHeight="1">
      <c r="G61" s="55"/>
    </row>
    <row r="62" ht="14.25" customHeight="1">
      <c r="G62" s="55"/>
    </row>
    <row r="63" ht="14.25" customHeight="1">
      <c r="G63" s="55"/>
    </row>
    <row r="64" ht="14.25" customHeight="1">
      <c r="G64" s="55"/>
    </row>
    <row r="65" ht="14.25" customHeight="1">
      <c r="G65" s="55"/>
    </row>
    <row r="66" ht="14.25" customHeight="1">
      <c r="G66" s="55"/>
    </row>
    <row r="67" ht="14.25" customHeight="1">
      <c r="G67" s="55"/>
    </row>
    <row r="68" ht="14.25" customHeight="1">
      <c r="G68" s="55"/>
    </row>
    <row r="69" ht="14.25" customHeight="1">
      <c r="G69" s="55"/>
    </row>
    <row r="70" ht="14.25" customHeight="1">
      <c r="G70" s="55"/>
    </row>
    <row r="71" ht="14.25" customHeight="1">
      <c r="G71" s="55"/>
    </row>
    <row r="72" ht="14.25" customHeight="1">
      <c r="G72" s="55"/>
    </row>
    <row r="73" ht="14.25" customHeight="1">
      <c r="G73" s="55"/>
    </row>
    <row r="74" ht="14.25" customHeight="1">
      <c r="G74" s="55"/>
    </row>
    <row r="75" ht="14.25" customHeight="1">
      <c r="G75" s="55"/>
    </row>
    <row r="76" ht="14.25" customHeight="1">
      <c r="G76" s="55"/>
    </row>
    <row r="77" ht="14.25" customHeight="1">
      <c r="G77" s="55"/>
    </row>
    <row r="78" ht="14.25" customHeight="1">
      <c r="G78" s="55"/>
    </row>
    <row r="79" ht="14.25" customHeight="1">
      <c r="G79" s="55"/>
    </row>
    <row r="80" ht="14.25" customHeight="1">
      <c r="G80" s="55"/>
    </row>
    <row r="81" ht="14.25" customHeight="1">
      <c r="G81" s="55"/>
    </row>
    <row r="82" ht="14.25" customHeight="1">
      <c r="G82" s="55"/>
    </row>
    <row r="83" ht="14.25" customHeight="1">
      <c r="G83" s="55"/>
    </row>
    <row r="84" ht="14.25" customHeight="1">
      <c r="G84" s="55"/>
    </row>
    <row r="85" ht="14.25" customHeight="1">
      <c r="G85" s="55"/>
    </row>
    <row r="86" ht="14.25" customHeight="1">
      <c r="G86" s="55"/>
    </row>
    <row r="87" ht="14.25" customHeight="1">
      <c r="G87" s="55"/>
    </row>
    <row r="88" ht="14.25" customHeight="1">
      <c r="G88" s="55"/>
    </row>
    <row r="89" ht="14.25" customHeight="1">
      <c r="G89" s="55"/>
    </row>
    <row r="90" ht="14.25" customHeight="1">
      <c r="G90" s="55"/>
    </row>
    <row r="91" ht="14.25" customHeight="1">
      <c r="G91" s="55"/>
    </row>
    <row r="92" ht="14.25" customHeight="1">
      <c r="G92" s="55"/>
    </row>
    <row r="93" ht="14.25" customHeight="1">
      <c r="G93" s="55"/>
    </row>
    <row r="94" ht="14.25" customHeight="1">
      <c r="G94" s="55"/>
    </row>
    <row r="95" ht="14.25" customHeight="1">
      <c r="G95" s="55"/>
    </row>
    <row r="96" ht="14.25" customHeight="1">
      <c r="G96" s="55"/>
    </row>
    <row r="97" ht="14.25" customHeight="1">
      <c r="G97" s="55"/>
    </row>
    <row r="98" ht="14.25" customHeight="1">
      <c r="G98" s="55"/>
    </row>
    <row r="99" ht="14.25" customHeight="1">
      <c r="G99" s="55"/>
    </row>
    <row r="100" ht="14.25" customHeight="1">
      <c r="G100" s="55"/>
    </row>
    <row r="101" ht="14.25" customHeight="1">
      <c r="G101" s="55"/>
    </row>
    <row r="102" ht="14.25" customHeight="1">
      <c r="G102" s="55"/>
    </row>
    <row r="103" ht="14.25" customHeight="1">
      <c r="G103" s="55"/>
    </row>
    <row r="104" ht="14.25" customHeight="1">
      <c r="G104" s="55"/>
    </row>
    <row r="105" ht="14.25" customHeight="1">
      <c r="G105" s="55"/>
    </row>
    <row r="106" ht="14.25" customHeight="1">
      <c r="G106" s="55"/>
    </row>
    <row r="107" ht="14.25" customHeight="1">
      <c r="G107" s="55"/>
    </row>
    <row r="108" ht="14.25" customHeight="1">
      <c r="G108" s="55"/>
    </row>
    <row r="109" ht="14.25" customHeight="1">
      <c r="G109" s="55"/>
    </row>
    <row r="110" ht="14.25" customHeight="1">
      <c r="G110" s="55"/>
    </row>
    <row r="111" ht="14.25" customHeight="1">
      <c r="G111" s="55"/>
    </row>
    <row r="112" ht="14.25" customHeight="1">
      <c r="G112" s="55"/>
    </row>
    <row r="113" ht="14.25" customHeight="1">
      <c r="G113" s="55"/>
    </row>
    <row r="114" ht="14.25" customHeight="1">
      <c r="G114" s="55"/>
    </row>
    <row r="115" ht="14.25" customHeight="1">
      <c r="G115" s="55"/>
    </row>
    <row r="116" ht="14.25" customHeight="1">
      <c r="G116" s="55"/>
    </row>
    <row r="117" ht="14.25" customHeight="1">
      <c r="G117" s="55"/>
    </row>
    <row r="118" ht="14.25" customHeight="1">
      <c r="G118" s="55"/>
    </row>
    <row r="119" ht="14.25" customHeight="1">
      <c r="G119" s="55"/>
    </row>
    <row r="120" ht="14.25" customHeight="1">
      <c r="G120" s="55"/>
    </row>
    <row r="121" ht="14.25" customHeight="1">
      <c r="G121" s="55"/>
    </row>
    <row r="122" ht="14.25" customHeight="1">
      <c r="G122" s="55"/>
    </row>
    <row r="123" ht="14.25" customHeight="1">
      <c r="G123" s="55"/>
    </row>
    <row r="124" ht="14.25" customHeight="1">
      <c r="G124" s="55"/>
    </row>
    <row r="125" ht="14.25" customHeight="1">
      <c r="G125" s="55"/>
    </row>
    <row r="126" ht="14.25" customHeight="1">
      <c r="G126" s="55"/>
    </row>
    <row r="127" ht="14.25" customHeight="1">
      <c r="G127" s="55"/>
    </row>
    <row r="128" ht="14.25" customHeight="1">
      <c r="G128" s="55"/>
    </row>
    <row r="129" ht="14.25" customHeight="1">
      <c r="G129" s="55"/>
    </row>
    <row r="130" ht="14.25" customHeight="1">
      <c r="G130" s="55"/>
    </row>
    <row r="131" ht="14.25" customHeight="1">
      <c r="G131" s="55"/>
    </row>
    <row r="132" ht="14.25" customHeight="1">
      <c r="G132" s="55"/>
    </row>
    <row r="133" ht="14.25" customHeight="1">
      <c r="G133" s="55"/>
    </row>
    <row r="134" ht="14.25" customHeight="1">
      <c r="G134" s="55"/>
    </row>
    <row r="135" ht="14.25" customHeight="1">
      <c r="G135" s="55"/>
    </row>
    <row r="136" ht="14.25" customHeight="1">
      <c r="G136" s="55"/>
    </row>
    <row r="137" ht="14.25" customHeight="1">
      <c r="G137" s="55"/>
    </row>
    <row r="138" ht="14.25" customHeight="1">
      <c r="G138" s="55"/>
    </row>
    <row r="139" ht="14.25" customHeight="1">
      <c r="G139" s="55"/>
    </row>
    <row r="140" ht="14.25" customHeight="1">
      <c r="G140" s="55"/>
    </row>
    <row r="141" ht="14.25" customHeight="1">
      <c r="G141" s="55"/>
    </row>
    <row r="142" ht="14.25" customHeight="1">
      <c r="G142" s="55"/>
    </row>
    <row r="143" ht="14.25" customHeight="1">
      <c r="G143" s="55"/>
    </row>
    <row r="144" ht="14.25" customHeight="1">
      <c r="G144" s="55"/>
    </row>
    <row r="145" ht="14.25" customHeight="1">
      <c r="G145" s="55"/>
    </row>
    <row r="146" ht="14.25" customHeight="1">
      <c r="G146" s="55"/>
    </row>
    <row r="147" ht="14.25" customHeight="1">
      <c r="G147" s="55"/>
    </row>
    <row r="148" ht="14.25" customHeight="1">
      <c r="G148" s="55"/>
    </row>
    <row r="149" ht="14.25" customHeight="1">
      <c r="G149" s="55"/>
    </row>
    <row r="150" ht="14.25" customHeight="1">
      <c r="G150" s="55"/>
    </row>
    <row r="151" ht="14.25" customHeight="1">
      <c r="G151" s="55"/>
    </row>
    <row r="152" ht="14.25" customHeight="1">
      <c r="G152" s="55"/>
    </row>
    <row r="153" ht="14.25" customHeight="1">
      <c r="G153" s="55"/>
    </row>
    <row r="154" ht="14.25" customHeight="1">
      <c r="G154" s="55"/>
    </row>
    <row r="155" ht="14.25" customHeight="1">
      <c r="G155" s="55"/>
    </row>
    <row r="156" ht="14.25" customHeight="1">
      <c r="G156" s="55"/>
    </row>
    <row r="157" ht="14.25" customHeight="1">
      <c r="G157" s="55"/>
    </row>
    <row r="158" ht="14.25" customHeight="1">
      <c r="G158" s="55"/>
    </row>
    <row r="159" ht="14.25" customHeight="1">
      <c r="G159" s="55"/>
    </row>
    <row r="160" ht="14.25" customHeight="1">
      <c r="G160" s="55"/>
    </row>
    <row r="161" ht="14.25" customHeight="1">
      <c r="G161" s="55"/>
    </row>
    <row r="162" ht="14.25" customHeight="1">
      <c r="G162" s="55"/>
    </row>
    <row r="163" ht="14.25" customHeight="1">
      <c r="G163" s="55"/>
    </row>
    <row r="164" ht="14.25" customHeight="1">
      <c r="G164" s="55"/>
    </row>
    <row r="165" ht="14.25" customHeight="1">
      <c r="G165" s="55"/>
    </row>
    <row r="166" ht="14.25" customHeight="1">
      <c r="G166" s="55"/>
    </row>
    <row r="167" ht="14.25" customHeight="1">
      <c r="G167" s="55"/>
    </row>
    <row r="168" ht="14.25" customHeight="1">
      <c r="G168" s="55"/>
    </row>
    <row r="169" ht="14.25" customHeight="1">
      <c r="G169" s="55"/>
    </row>
    <row r="170" ht="14.25" customHeight="1">
      <c r="G170" s="55"/>
    </row>
    <row r="171" ht="14.25" customHeight="1">
      <c r="G171" s="55"/>
    </row>
    <row r="172" ht="14.25" customHeight="1">
      <c r="G172" s="55"/>
    </row>
    <row r="173" ht="14.25" customHeight="1">
      <c r="G173" s="55"/>
    </row>
    <row r="174" ht="14.25" customHeight="1">
      <c r="G174" s="55"/>
    </row>
    <row r="175" ht="14.25" customHeight="1">
      <c r="G175" s="55"/>
    </row>
    <row r="176" ht="14.25" customHeight="1">
      <c r="G176" s="55"/>
    </row>
    <row r="177" ht="14.25" customHeight="1">
      <c r="G177" s="55"/>
    </row>
    <row r="178" ht="14.25" customHeight="1">
      <c r="G178" s="55"/>
    </row>
    <row r="179" ht="14.25" customHeight="1">
      <c r="G179" s="55"/>
    </row>
    <row r="180" ht="14.25" customHeight="1">
      <c r="G180" s="55"/>
    </row>
    <row r="181" ht="14.25" customHeight="1">
      <c r="G181" s="55"/>
    </row>
    <row r="182" ht="14.25" customHeight="1">
      <c r="G182" s="55"/>
    </row>
    <row r="183" ht="14.25" customHeight="1">
      <c r="G183" s="55"/>
    </row>
    <row r="184" ht="14.25" customHeight="1">
      <c r="G184" s="55"/>
    </row>
    <row r="185" ht="14.25" customHeight="1">
      <c r="G185" s="55"/>
    </row>
    <row r="186" ht="14.25" customHeight="1">
      <c r="G186" s="55"/>
    </row>
    <row r="187" ht="14.25" customHeight="1">
      <c r="G187" s="55"/>
    </row>
    <row r="188" ht="14.25" customHeight="1">
      <c r="G188" s="55"/>
    </row>
    <row r="189" ht="14.25" customHeight="1">
      <c r="G189" s="55"/>
    </row>
    <row r="190" ht="14.25" customHeight="1">
      <c r="G190" s="55"/>
    </row>
    <row r="191" ht="14.25" customHeight="1">
      <c r="G191" s="55"/>
    </row>
    <row r="192" ht="14.25" customHeight="1">
      <c r="G192" s="55"/>
    </row>
    <row r="193" ht="14.25" customHeight="1">
      <c r="G193" s="55"/>
    </row>
    <row r="194" ht="14.25" customHeight="1">
      <c r="G194" s="55"/>
    </row>
    <row r="195" ht="14.25" customHeight="1">
      <c r="G195" s="55"/>
    </row>
    <row r="196" ht="14.25" customHeight="1">
      <c r="G196" s="55"/>
    </row>
    <row r="197" ht="14.25" customHeight="1">
      <c r="G197" s="55"/>
    </row>
    <row r="198" ht="14.25" customHeight="1">
      <c r="G198" s="55"/>
    </row>
    <row r="199" ht="14.25" customHeight="1">
      <c r="G199" s="55"/>
    </row>
    <row r="200" ht="14.25" customHeight="1">
      <c r="G200" s="55"/>
    </row>
    <row r="201" ht="14.25" customHeight="1">
      <c r="G201" s="55"/>
    </row>
    <row r="202" ht="14.25" customHeight="1">
      <c r="G202" s="55"/>
    </row>
    <row r="203" ht="14.25" customHeight="1">
      <c r="G203" s="55"/>
    </row>
    <row r="204" ht="14.25" customHeight="1">
      <c r="G204" s="55"/>
    </row>
    <row r="205" ht="14.25" customHeight="1">
      <c r="G205" s="55"/>
    </row>
    <row r="206" ht="14.25" customHeight="1">
      <c r="G206" s="55"/>
    </row>
    <row r="207" ht="14.25" customHeight="1">
      <c r="G207" s="55"/>
    </row>
    <row r="208" ht="14.25" customHeight="1">
      <c r="G208" s="55"/>
    </row>
    <row r="209" ht="14.25" customHeight="1">
      <c r="G209" s="55"/>
    </row>
    <row r="210" ht="14.25" customHeight="1">
      <c r="G210" s="55"/>
    </row>
    <row r="211" ht="14.25" customHeight="1">
      <c r="G211" s="55"/>
    </row>
    <row r="212" ht="14.25" customHeight="1">
      <c r="G212" s="55"/>
    </row>
    <row r="213" ht="14.25" customHeight="1">
      <c r="G213" s="55"/>
    </row>
    <row r="214" ht="14.25" customHeight="1">
      <c r="G214" s="55"/>
    </row>
    <row r="215" ht="14.25" customHeight="1">
      <c r="G215" s="55"/>
    </row>
    <row r="216" ht="14.25" customHeight="1">
      <c r="G216" s="55"/>
    </row>
    <row r="217" ht="14.25" customHeight="1">
      <c r="G217" s="55"/>
    </row>
    <row r="218" ht="14.25" customHeight="1">
      <c r="G218" s="55"/>
    </row>
    <row r="219" ht="14.25" customHeight="1">
      <c r="G219" s="55"/>
    </row>
    <row r="220" ht="14.25" customHeight="1">
      <c r="G220" s="55"/>
    </row>
    <row r="221" ht="14.25" customHeight="1">
      <c r="G221" s="55"/>
    </row>
    <row r="222" ht="14.25" customHeight="1">
      <c r="G222" s="55"/>
    </row>
    <row r="223" ht="14.25" customHeight="1">
      <c r="G223" s="55"/>
    </row>
    <row r="224" ht="14.25" customHeight="1">
      <c r="G224" s="55"/>
    </row>
    <row r="225" ht="14.25" customHeight="1">
      <c r="G225" s="55"/>
    </row>
    <row r="226" ht="14.25" customHeight="1">
      <c r="G226" s="55"/>
    </row>
    <row r="227" ht="14.25" customHeight="1">
      <c r="G227" s="55"/>
    </row>
    <row r="228" ht="14.25" customHeight="1">
      <c r="G228" s="55"/>
    </row>
    <row r="229" ht="14.25" customHeight="1">
      <c r="G229" s="55"/>
    </row>
    <row r="230" ht="14.25" customHeight="1">
      <c r="G230" s="55"/>
    </row>
    <row r="231" ht="14.25" customHeight="1">
      <c r="G231" s="55"/>
    </row>
    <row r="232" ht="14.25" customHeight="1">
      <c r="G232" s="55"/>
    </row>
    <row r="233" ht="14.25" customHeight="1">
      <c r="G233" s="55"/>
    </row>
    <row r="234" ht="14.25" customHeight="1">
      <c r="G234" s="55"/>
    </row>
    <row r="235" ht="14.25" customHeight="1">
      <c r="G235" s="55"/>
    </row>
    <row r="236" ht="14.25" customHeight="1">
      <c r="G236" s="55"/>
    </row>
    <row r="237" ht="14.25" customHeight="1">
      <c r="G237" s="55"/>
    </row>
    <row r="238" ht="14.25" customHeight="1">
      <c r="G238" s="55"/>
    </row>
    <row r="239" ht="14.25" customHeight="1">
      <c r="G239" s="55"/>
    </row>
    <row r="240" ht="14.25" customHeight="1">
      <c r="G240" s="55"/>
    </row>
    <row r="241" ht="14.25" customHeight="1">
      <c r="G241" s="55"/>
    </row>
    <row r="242" ht="14.25" customHeight="1">
      <c r="G242" s="55"/>
    </row>
    <row r="243" ht="14.25" customHeight="1">
      <c r="G243" s="55"/>
    </row>
    <row r="244" ht="14.25" customHeight="1">
      <c r="G244" s="55"/>
    </row>
    <row r="245" ht="14.25" customHeight="1">
      <c r="G245" s="55"/>
    </row>
    <row r="246" ht="14.25" customHeight="1">
      <c r="G246" s="55"/>
    </row>
    <row r="247" ht="14.25" customHeight="1">
      <c r="G247" s="55"/>
    </row>
    <row r="248" ht="14.25" customHeight="1">
      <c r="G248" s="55"/>
    </row>
    <row r="249" ht="14.25" customHeight="1">
      <c r="G249" s="55"/>
    </row>
    <row r="250" ht="14.25" customHeight="1">
      <c r="G250" s="55"/>
    </row>
    <row r="251" ht="14.25" customHeight="1">
      <c r="G251" s="55"/>
    </row>
    <row r="252" ht="14.25" customHeight="1">
      <c r="G252" s="55"/>
    </row>
    <row r="253" ht="14.25" customHeight="1">
      <c r="G253" s="55"/>
    </row>
    <row r="254" ht="14.25" customHeight="1">
      <c r="G254" s="55"/>
    </row>
    <row r="255" ht="14.25" customHeight="1">
      <c r="G255" s="55"/>
    </row>
    <row r="256" ht="14.25" customHeight="1">
      <c r="G256" s="55"/>
    </row>
    <row r="257" ht="14.25" customHeight="1">
      <c r="G257" s="55"/>
    </row>
    <row r="258" ht="14.25" customHeight="1">
      <c r="G258" s="55"/>
    </row>
    <row r="259" ht="14.25" customHeight="1">
      <c r="G259" s="55"/>
    </row>
    <row r="260" ht="14.25" customHeight="1">
      <c r="G260" s="55"/>
    </row>
    <row r="261" ht="14.25" customHeight="1">
      <c r="G261" s="55"/>
    </row>
    <row r="262" ht="14.25" customHeight="1">
      <c r="G262" s="55"/>
    </row>
    <row r="263" ht="14.25" customHeight="1">
      <c r="G263" s="55"/>
    </row>
    <row r="264" ht="14.25" customHeight="1">
      <c r="G264" s="55"/>
    </row>
    <row r="265" ht="14.25" customHeight="1">
      <c r="G265" s="55"/>
    </row>
    <row r="266" ht="14.25" customHeight="1">
      <c r="G266" s="55"/>
    </row>
    <row r="267" ht="14.25" customHeight="1">
      <c r="G267" s="55"/>
    </row>
    <row r="268" ht="14.25" customHeight="1">
      <c r="G268" s="55"/>
    </row>
    <row r="269" ht="14.25" customHeight="1">
      <c r="G269" s="55"/>
    </row>
    <row r="270" ht="14.25" customHeight="1">
      <c r="G270" s="55"/>
    </row>
    <row r="271" ht="14.25" customHeight="1">
      <c r="G271" s="55"/>
    </row>
    <row r="272" ht="14.25" customHeight="1">
      <c r="G272" s="55"/>
    </row>
    <row r="273" ht="14.25" customHeight="1">
      <c r="G273" s="55"/>
    </row>
    <row r="274" ht="14.25" customHeight="1">
      <c r="G274" s="55"/>
    </row>
    <row r="275" ht="14.25" customHeight="1">
      <c r="G275" s="55"/>
    </row>
    <row r="276" ht="14.25" customHeight="1">
      <c r="G276" s="55"/>
    </row>
    <row r="277" ht="14.25" customHeight="1">
      <c r="G277" s="55"/>
    </row>
    <row r="278" ht="14.25" customHeight="1">
      <c r="G278" s="55"/>
    </row>
    <row r="279" ht="14.25" customHeight="1">
      <c r="G279" s="55"/>
    </row>
    <row r="280" ht="14.25" customHeight="1">
      <c r="G280" s="55"/>
    </row>
    <row r="281" ht="14.25" customHeight="1">
      <c r="G281" s="55"/>
    </row>
    <row r="282" ht="14.25" customHeight="1">
      <c r="G282" s="55"/>
    </row>
    <row r="283" ht="14.25" customHeight="1">
      <c r="G283" s="55"/>
    </row>
    <row r="284" ht="14.25" customHeight="1">
      <c r="G284" s="55"/>
    </row>
    <row r="285" ht="14.25" customHeight="1">
      <c r="G285" s="55"/>
    </row>
    <row r="286" ht="14.25" customHeight="1">
      <c r="G286" s="55"/>
    </row>
    <row r="287" ht="14.25" customHeight="1">
      <c r="G287" s="55"/>
    </row>
    <row r="288" ht="14.25" customHeight="1">
      <c r="G288" s="55"/>
    </row>
    <row r="289" ht="14.25" customHeight="1">
      <c r="G289" s="55"/>
    </row>
    <row r="290" ht="14.25" customHeight="1">
      <c r="G290" s="55"/>
    </row>
    <row r="291" ht="14.25" customHeight="1">
      <c r="G291" s="55"/>
    </row>
    <row r="292" ht="14.25" customHeight="1">
      <c r="G292" s="55"/>
    </row>
    <row r="293" ht="14.25" customHeight="1">
      <c r="G293" s="55"/>
    </row>
    <row r="294" ht="14.25" customHeight="1">
      <c r="G294" s="55"/>
    </row>
    <row r="295" ht="14.25" customHeight="1">
      <c r="G295" s="55"/>
    </row>
    <row r="296" ht="14.25" customHeight="1">
      <c r="G296" s="55"/>
    </row>
    <row r="297" ht="14.25" customHeight="1">
      <c r="G297" s="55"/>
    </row>
    <row r="298" ht="14.25" customHeight="1">
      <c r="G298" s="55"/>
    </row>
    <row r="299" ht="14.25" customHeight="1">
      <c r="G299" s="55"/>
    </row>
    <row r="300" ht="14.25" customHeight="1">
      <c r="G300" s="55"/>
    </row>
    <row r="301" ht="14.25" customHeight="1">
      <c r="G301" s="55"/>
    </row>
    <row r="302" ht="14.25" customHeight="1">
      <c r="G302" s="55"/>
    </row>
    <row r="303" ht="14.25" customHeight="1">
      <c r="G303" s="55"/>
    </row>
    <row r="304" ht="14.25" customHeight="1">
      <c r="G304" s="55"/>
    </row>
    <row r="305" ht="14.25" customHeight="1">
      <c r="G305" s="55"/>
    </row>
    <row r="306" ht="14.25" customHeight="1">
      <c r="G306" s="55"/>
    </row>
    <row r="307" ht="14.25" customHeight="1">
      <c r="G307" s="55"/>
    </row>
    <row r="308" ht="14.25" customHeight="1">
      <c r="G308" s="55"/>
    </row>
    <row r="309" ht="14.25" customHeight="1">
      <c r="G309" s="55"/>
    </row>
    <row r="310" ht="14.25" customHeight="1">
      <c r="G310" s="55"/>
    </row>
    <row r="311" ht="14.25" customHeight="1">
      <c r="G311" s="55"/>
    </row>
    <row r="312" ht="14.25" customHeight="1">
      <c r="G312" s="55"/>
    </row>
    <row r="313" ht="14.25" customHeight="1">
      <c r="G313" s="55"/>
    </row>
    <row r="314" ht="14.25" customHeight="1">
      <c r="G314" s="55"/>
    </row>
    <row r="315" ht="14.25" customHeight="1">
      <c r="G315" s="55"/>
    </row>
    <row r="316" ht="14.25" customHeight="1">
      <c r="G316" s="55"/>
    </row>
    <row r="317" ht="14.25" customHeight="1">
      <c r="G317" s="55"/>
    </row>
    <row r="318" ht="14.25" customHeight="1">
      <c r="G318" s="55"/>
    </row>
    <row r="319" ht="14.25" customHeight="1">
      <c r="G319" s="55"/>
    </row>
    <row r="320" ht="14.25" customHeight="1">
      <c r="G320" s="55"/>
    </row>
    <row r="321" ht="14.25" customHeight="1">
      <c r="G321" s="55"/>
    </row>
    <row r="322" ht="14.25" customHeight="1">
      <c r="G322" s="55"/>
    </row>
    <row r="323" ht="14.25" customHeight="1">
      <c r="G323" s="55"/>
    </row>
    <row r="324" ht="14.25" customHeight="1">
      <c r="G324" s="55"/>
    </row>
    <row r="325" ht="14.25" customHeight="1">
      <c r="G325" s="55"/>
    </row>
    <row r="326" ht="14.25" customHeight="1">
      <c r="G326" s="55"/>
    </row>
    <row r="327" ht="14.25" customHeight="1">
      <c r="G327" s="55"/>
    </row>
    <row r="328" ht="14.25" customHeight="1">
      <c r="G328" s="55"/>
    </row>
    <row r="329" ht="14.25" customHeight="1">
      <c r="G329" s="55"/>
    </row>
    <row r="330" ht="14.25" customHeight="1">
      <c r="G330" s="55"/>
    </row>
    <row r="331" ht="14.25" customHeight="1">
      <c r="G331" s="55"/>
    </row>
    <row r="332" ht="14.25" customHeight="1">
      <c r="G332" s="55"/>
    </row>
    <row r="333" ht="14.25" customHeight="1">
      <c r="G333" s="55"/>
    </row>
    <row r="334" ht="14.25" customHeight="1">
      <c r="G334" s="55"/>
    </row>
    <row r="335" ht="14.25" customHeight="1">
      <c r="G335" s="55"/>
    </row>
    <row r="336" ht="14.25" customHeight="1">
      <c r="G336" s="55"/>
    </row>
    <row r="337" ht="14.25" customHeight="1">
      <c r="G337" s="55"/>
    </row>
    <row r="338" ht="14.25" customHeight="1">
      <c r="G338" s="55"/>
    </row>
    <row r="339" ht="14.25" customHeight="1">
      <c r="G339" s="55"/>
    </row>
    <row r="340" ht="14.25" customHeight="1">
      <c r="G340" s="55"/>
    </row>
    <row r="341" ht="14.25" customHeight="1">
      <c r="G341" s="55"/>
    </row>
    <row r="342" ht="14.25" customHeight="1">
      <c r="G342" s="55"/>
    </row>
    <row r="343" ht="14.25" customHeight="1">
      <c r="G343" s="55"/>
    </row>
    <row r="344" ht="14.25" customHeight="1">
      <c r="G344" s="55"/>
    </row>
    <row r="345" ht="14.25" customHeight="1">
      <c r="G345" s="55"/>
    </row>
    <row r="346" ht="14.25" customHeight="1">
      <c r="G346" s="55"/>
    </row>
    <row r="347" ht="14.25" customHeight="1">
      <c r="G347" s="55"/>
    </row>
    <row r="348" ht="14.25" customHeight="1">
      <c r="G348" s="55"/>
    </row>
    <row r="349" ht="14.25" customHeight="1">
      <c r="G349" s="55"/>
    </row>
    <row r="350" ht="14.25" customHeight="1">
      <c r="G350" s="55"/>
    </row>
    <row r="351" ht="14.25" customHeight="1">
      <c r="G351" s="55"/>
    </row>
    <row r="352" ht="14.25" customHeight="1">
      <c r="G352" s="55"/>
    </row>
    <row r="353" ht="14.25" customHeight="1">
      <c r="G353" s="55"/>
    </row>
    <row r="354" ht="14.25" customHeight="1">
      <c r="G354" s="55"/>
    </row>
    <row r="355" ht="14.25" customHeight="1">
      <c r="G355" s="55"/>
    </row>
    <row r="356" ht="14.25" customHeight="1">
      <c r="G356" s="55"/>
    </row>
    <row r="357" ht="14.25" customHeight="1">
      <c r="G357" s="55"/>
    </row>
    <row r="358" ht="14.25" customHeight="1">
      <c r="G358" s="55"/>
    </row>
    <row r="359" ht="14.25" customHeight="1">
      <c r="G359" s="55"/>
    </row>
    <row r="360" ht="14.25" customHeight="1">
      <c r="G360" s="55"/>
    </row>
    <row r="361" ht="14.25" customHeight="1">
      <c r="G361" s="55"/>
    </row>
    <row r="362" ht="14.25" customHeight="1">
      <c r="G362" s="55"/>
    </row>
    <row r="363" ht="14.25" customHeight="1">
      <c r="G363" s="55"/>
    </row>
    <row r="364" ht="14.25" customHeight="1">
      <c r="G364" s="55"/>
    </row>
    <row r="365" ht="14.25" customHeight="1">
      <c r="G365" s="55"/>
    </row>
    <row r="366" ht="14.25" customHeight="1">
      <c r="G366" s="55"/>
    </row>
    <row r="367" ht="14.25" customHeight="1">
      <c r="G367" s="55"/>
    </row>
    <row r="368" ht="14.25" customHeight="1">
      <c r="G368" s="55"/>
    </row>
    <row r="369" ht="14.25" customHeight="1">
      <c r="G369" s="55"/>
    </row>
    <row r="370" ht="14.25" customHeight="1">
      <c r="G370" s="55"/>
    </row>
    <row r="371" ht="14.25" customHeight="1">
      <c r="G371" s="55"/>
    </row>
    <row r="372" ht="14.25" customHeight="1">
      <c r="G372" s="55"/>
    </row>
    <row r="373" ht="14.25" customHeight="1">
      <c r="G373" s="55"/>
    </row>
    <row r="374" ht="14.25" customHeight="1">
      <c r="G374" s="55"/>
    </row>
    <row r="375" ht="14.25" customHeight="1">
      <c r="G375" s="55"/>
    </row>
    <row r="376" ht="14.25" customHeight="1">
      <c r="G376" s="55"/>
    </row>
    <row r="377" ht="14.25" customHeight="1">
      <c r="G377" s="55"/>
    </row>
    <row r="378" ht="14.25" customHeight="1">
      <c r="G378" s="55"/>
    </row>
    <row r="379" ht="14.25" customHeight="1">
      <c r="G379" s="55"/>
    </row>
    <row r="380" ht="14.25" customHeight="1">
      <c r="G380" s="55"/>
    </row>
    <row r="381" ht="14.25" customHeight="1">
      <c r="G381" s="55"/>
    </row>
    <row r="382" ht="14.25" customHeight="1">
      <c r="G382" s="55"/>
    </row>
    <row r="383" ht="14.25" customHeight="1">
      <c r="G383" s="55"/>
    </row>
    <row r="384" ht="14.25" customHeight="1">
      <c r="G384" s="55"/>
    </row>
    <row r="385" ht="14.25" customHeight="1">
      <c r="G385" s="55"/>
    </row>
    <row r="386" ht="14.25" customHeight="1">
      <c r="G386" s="55"/>
    </row>
    <row r="387" ht="14.25" customHeight="1">
      <c r="G387" s="55"/>
    </row>
    <row r="388" ht="14.25" customHeight="1">
      <c r="G388" s="55"/>
    </row>
    <row r="389" ht="14.25" customHeight="1">
      <c r="G389" s="55"/>
    </row>
    <row r="390" ht="14.25" customHeight="1">
      <c r="G390" s="55"/>
    </row>
    <row r="391" ht="14.25" customHeight="1">
      <c r="G391" s="55"/>
    </row>
    <row r="392" ht="14.25" customHeight="1">
      <c r="G392" s="55"/>
    </row>
    <row r="393" ht="14.25" customHeight="1">
      <c r="G393" s="55"/>
    </row>
    <row r="394" ht="14.25" customHeight="1">
      <c r="G394" s="55"/>
    </row>
    <row r="395" ht="14.25" customHeight="1">
      <c r="G395" s="55"/>
    </row>
    <row r="396" ht="14.25" customHeight="1">
      <c r="G396" s="55"/>
    </row>
    <row r="397" ht="14.25" customHeight="1">
      <c r="G397" s="55"/>
    </row>
    <row r="398" ht="14.25" customHeight="1">
      <c r="G398" s="55"/>
    </row>
    <row r="399" ht="14.25" customHeight="1">
      <c r="G399" s="55"/>
    </row>
    <row r="400" ht="14.25" customHeight="1">
      <c r="G400" s="55"/>
    </row>
    <row r="401" ht="14.25" customHeight="1">
      <c r="G401" s="55"/>
    </row>
    <row r="402" ht="14.25" customHeight="1">
      <c r="G402" s="55"/>
    </row>
    <row r="403" ht="14.25" customHeight="1">
      <c r="G403" s="55"/>
    </row>
    <row r="404" ht="14.25" customHeight="1">
      <c r="G404" s="55"/>
    </row>
    <row r="405" ht="14.25" customHeight="1">
      <c r="G405" s="55"/>
    </row>
    <row r="406" ht="14.25" customHeight="1">
      <c r="G406" s="55"/>
    </row>
    <row r="407" ht="14.25" customHeight="1">
      <c r="G407" s="55"/>
    </row>
    <row r="408" ht="14.25" customHeight="1">
      <c r="G408" s="55"/>
    </row>
    <row r="409" ht="14.25" customHeight="1">
      <c r="G409" s="55"/>
    </row>
    <row r="410" ht="14.25" customHeight="1">
      <c r="G410" s="55"/>
    </row>
    <row r="411" ht="14.25" customHeight="1">
      <c r="G411" s="55"/>
    </row>
    <row r="412" ht="14.25" customHeight="1">
      <c r="G412" s="55"/>
    </row>
    <row r="413" ht="14.25" customHeight="1">
      <c r="G413" s="55"/>
    </row>
    <row r="414" ht="14.25" customHeight="1">
      <c r="G414" s="55"/>
    </row>
    <row r="415" ht="14.25" customHeight="1">
      <c r="G415" s="55"/>
    </row>
    <row r="416" ht="14.25" customHeight="1">
      <c r="G416" s="55"/>
    </row>
    <row r="417" ht="14.25" customHeight="1">
      <c r="G417" s="55"/>
    </row>
    <row r="418" ht="14.25" customHeight="1">
      <c r="G418" s="55"/>
    </row>
    <row r="419" ht="14.25" customHeight="1">
      <c r="G419" s="55"/>
    </row>
    <row r="420" ht="14.25" customHeight="1">
      <c r="G420" s="55"/>
    </row>
    <row r="421" ht="14.25" customHeight="1">
      <c r="G421" s="55"/>
    </row>
    <row r="422" ht="14.25" customHeight="1">
      <c r="G422" s="55"/>
    </row>
    <row r="423" ht="14.25" customHeight="1">
      <c r="G423" s="55"/>
    </row>
    <row r="424" ht="14.25" customHeight="1">
      <c r="G424" s="55"/>
    </row>
    <row r="425" ht="14.25" customHeight="1">
      <c r="G425" s="55"/>
    </row>
    <row r="426" ht="14.25" customHeight="1">
      <c r="G426" s="55"/>
    </row>
    <row r="427" ht="14.25" customHeight="1">
      <c r="G427" s="55"/>
    </row>
    <row r="428" ht="14.25" customHeight="1">
      <c r="G428" s="55"/>
    </row>
    <row r="429" ht="14.25" customHeight="1">
      <c r="G429" s="55"/>
    </row>
    <row r="430" ht="14.25" customHeight="1">
      <c r="G430" s="55"/>
    </row>
    <row r="431" ht="14.25" customHeight="1">
      <c r="G431" s="55"/>
    </row>
    <row r="432" ht="14.25" customHeight="1">
      <c r="G432" s="55"/>
    </row>
    <row r="433" ht="14.25" customHeight="1">
      <c r="G433" s="55"/>
    </row>
    <row r="434" ht="14.25" customHeight="1">
      <c r="G434" s="55"/>
    </row>
    <row r="435" ht="14.25" customHeight="1">
      <c r="G435" s="55"/>
    </row>
    <row r="436" ht="14.25" customHeight="1">
      <c r="G436" s="55"/>
    </row>
    <row r="437" ht="14.25" customHeight="1">
      <c r="G437" s="55"/>
    </row>
    <row r="438" ht="14.25" customHeight="1">
      <c r="G438" s="55"/>
    </row>
    <row r="439" ht="14.25" customHeight="1">
      <c r="G439" s="55"/>
    </row>
    <row r="440" ht="14.25" customHeight="1">
      <c r="G440" s="55"/>
    </row>
    <row r="441" ht="14.25" customHeight="1">
      <c r="G441" s="55"/>
    </row>
    <row r="442" ht="14.25" customHeight="1">
      <c r="G442" s="55"/>
    </row>
    <row r="443" ht="14.25" customHeight="1">
      <c r="G443" s="55"/>
    </row>
    <row r="444" ht="14.25" customHeight="1">
      <c r="G444" s="55"/>
    </row>
    <row r="445" ht="14.25" customHeight="1">
      <c r="G445" s="55"/>
    </row>
    <row r="446" ht="14.25" customHeight="1">
      <c r="G446" s="55"/>
    </row>
    <row r="447" ht="14.25" customHeight="1">
      <c r="G447" s="55"/>
    </row>
    <row r="448" ht="14.25" customHeight="1">
      <c r="G448" s="55"/>
    </row>
    <row r="449" ht="14.25" customHeight="1">
      <c r="G449" s="55"/>
    </row>
    <row r="450" ht="14.25" customHeight="1">
      <c r="G450" s="55"/>
    </row>
    <row r="451" ht="14.25" customHeight="1">
      <c r="G451" s="55"/>
    </row>
    <row r="452" ht="14.25" customHeight="1">
      <c r="G452" s="55"/>
    </row>
    <row r="453" ht="14.25" customHeight="1">
      <c r="G453" s="55"/>
    </row>
    <row r="454" ht="14.25" customHeight="1">
      <c r="G454" s="55"/>
    </row>
    <row r="455" ht="14.25" customHeight="1">
      <c r="G455" s="55"/>
    </row>
    <row r="456" ht="14.25" customHeight="1">
      <c r="G456" s="55"/>
    </row>
    <row r="457" ht="14.25" customHeight="1">
      <c r="G457" s="55"/>
    </row>
    <row r="458" ht="14.25" customHeight="1">
      <c r="G458" s="55"/>
    </row>
    <row r="459" ht="14.25" customHeight="1">
      <c r="G459" s="55"/>
    </row>
    <row r="460" ht="14.25" customHeight="1">
      <c r="G460" s="55"/>
    </row>
    <row r="461" ht="14.25" customHeight="1">
      <c r="G461" s="55"/>
    </row>
    <row r="462" ht="14.25" customHeight="1">
      <c r="G462" s="55"/>
    </row>
    <row r="463" ht="14.25" customHeight="1">
      <c r="G463" s="55"/>
    </row>
    <row r="464" ht="14.25" customHeight="1">
      <c r="G464" s="55"/>
    </row>
    <row r="465" ht="14.25" customHeight="1">
      <c r="G465" s="55"/>
    </row>
    <row r="466" ht="14.25" customHeight="1">
      <c r="G466" s="55"/>
    </row>
    <row r="467" ht="14.25" customHeight="1">
      <c r="G467" s="55"/>
    </row>
    <row r="468" ht="14.25" customHeight="1">
      <c r="G468" s="55"/>
    </row>
    <row r="469" ht="14.25" customHeight="1">
      <c r="G469" s="55"/>
    </row>
    <row r="470" ht="14.25" customHeight="1">
      <c r="G470" s="55"/>
    </row>
    <row r="471" ht="14.25" customHeight="1">
      <c r="G471" s="55"/>
    </row>
    <row r="472" ht="14.25" customHeight="1">
      <c r="G472" s="55"/>
    </row>
    <row r="473" ht="14.25" customHeight="1">
      <c r="G473" s="55"/>
    </row>
    <row r="474" ht="14.25" customHeight="1">
      <c r="G474" s="55"/>
    </row>
    <row r="475" ht="14.25" customHeight="1">
      <c r="G475" s="55"/>
    </row>
    <row r="476" ht="14.25" customHeight="1">
      <c r="G476" s="55"/>
    </row>
    <row r="477" ht="14.25" customHeight="1">
      <c r="G477" s="55"/>
    </row>
    <row r="478" ht="14.25" customHeight="1">
      <c r="G478" s="55"/>
    </row>
    <row r="479" ht="14.25" customHeight="1">
      <c r="G479" s="55"/>
    </row>
    <row r="480" ht="14.25" customHeight="1">
      <c r="G480" s="55"/>
    </row>
    <row r="481" ht="14.25" customHeight="1">
      <c r="G481" s="55"/>
    </row>
    <row r="482" ht="14.25" customHeight="1">
      <c r="G482" s="55"/>
    </row>
    <row r="483" ht="14.25" customHeight="1">
      <c r="G483" s="55"/>
    </row>
    <row r="484" ht="14.25" customHeight="1">
      <c r="G484" s="55"/>
    </row>
    <row r="485" ht="14.25" customHeight="1">
      <c r="G485" s="55"/>
    </row>
    <row r="486" ht="14.25" customHeight="1">
      <c r="G486" s="55"/>
    </row>
    <row r="487" ht="14.25" customHeight="1">
      <c r="G487" s="55"/>
    </row>
    <row r="488" ht="14.25" customHeight="1">
      <c r="G488" s="55"/>
    </row>
    <row r="489" ht="14.25" customHeight="1">
      <c r="G489" s="55"/>
    </row>
    <row r="490" ht="14.25" customHeight="1">
      <c r="G490" s="55"/>
    </row>
    <row r="491" ht="14.25" customHeight="1">
      <c r="G491" s="55"/>
    </row>
    <row r="492" ht="14.25" customHeight="1">
      <c r="G492" s="55"/>
    </row>
    <row r="493" ht="14.25" customHeight="1">
      <c r="G493" s="55"/>
    </row>
    <row r="494" ht="14.25" customHeight="1">
      <c r="G494" s="55"/>
    </row>
    <row r="495" ht="14.25" customHeight="1">
      <c r="G495" s="55"/>
    </row>
    <row r="496" ht="14.25" customHeight="1">
      <c r="G496" s="55"/>
    </row>
    <row r="497" ht="14.25" customHeight="1">
      <c r="G497" s="55"/>
    </row>
    <row r="498" ht="14.25" customHeight="1">
      <c r="G498" s="55"/>
    </row>
    <row r="499" ht="14.25" customHeight="1">
      <c r="G499" s="55"/>
    </row>
    <row r="500" ht="14.25" customHeight="1">
      <c r="G500" s="55"/>
    </row>
    <row r="501" ht="14.25" customHeight="1">
      <c r="G501" s="55"/>
    </row>
    <row r="502" ht="14.25" customHeight="1">
      <c r="G502" s="55"/>
    </row>
    <row r="503" ht="14.25" customHeight="1">
      <c r="G503" s="55"/>
    </row>
    <row r="504" ht="14.25" customHeight="1">
      <c r="G504" s="55"/>
    </row>
    <row r="505" ht="14.25" customHeight="1">
      <c r="G505" s="55"/>
    </row>
    <row r="506" ht="14.25" customHeight="1">
      <c r="G506" s="55"/>
    </row>
    <row r="507" ht="14.25" customHeight="1">
      <c r="G507" s="55"/>
    </row>
    <row r="508" ht="14.25" customHeight="1">
      <c r="G508" s="55"/>
    </row>
    <row r="509" ht="14.25" customHeight="1">
      <c r="G509" s="55"/>
    </row>
    <row r="510" ht="14.25" customHeight="1">
      <c r="G510" s="55"/>
    </row>
    <row r="511" ht="14.25" customHeight="1">
      <c r="G511" s="55"/>
    </row>
    <row r="512" ht="14.25" customHeight="1">
      <c r="G512" s="55"/>
    </row>
    <row r="513" ht="14.25" customHeight="1">
      <c r="G513" s="55"/>
    </row>
    <row r="514" ht="14.25" customHeight="1">
      <c r="G514" s="55"/>
    </row>
    <row r="515" ht="14.25" customHeight="1">
      <c r="G515" s="55"/>
    </row>
    <row r="516" ht="14.25" customHeight="1">
      <c r="G516" s="55"/>
    </row>
    <row r="517" ht="14.25" customHeight="1">
      <c r="G517" s="55"/>
    </row>
    <row r="518" ht="14.25" customHeight="1">
      <c r="G518" s="55"/>
    </row>
    <row r="519" ht="14.25" customHeight="1">
      <c r="G519" s="55"/>
    </row>
    <row r="520" ht="14.25" customHeight="1">
      <c r="G520" s="55"/>
    </row>
    <row r="521" ht="14.25" customHeight="1">
      <c r="G521" s="55"/>
    </row>
    <row r="522" ht="14.25" customHeight="1">
      <c r="G522" s="55"/>
    </row>
    <row r="523" ht="14.25" customHeight="1">
      <c r="G523" s="55"/>
    </row>
    <row r="524" ht="14.25" customHeight="1">
      <c r="G524" s="55"/>
    </row>
    <row r="525" ht="14.25" customHeight="1">
      <c r="G525" s="55"/>
    </row>
    <row r="526" ht="14.25" customHeight="1">
      <c r="G526" s="55"/>
    </row>
    <row r="527" ht="14.25" customHeight="1">
      <c r="G527" s="55"/>
    </row>
    <row r="528" ht="14.25" customHeight="1">
      <c r="G528" s="55"/>
    </row>
    <row r="529" ht="14.25" customHeight="1">
      <c r="G529" s="55"/>
    </row>
    <row r="530" ht="14.25" customHeight="1">
      <c r="G530" s="55"/>
    </row>
    <row r="531" ht="14.25" customHeight="1">
      <c r="G531" s="55"/>
    </row>
    <row r="532" ht="14.25" customHeight="1">
      <c r="G532" s="55"/>
    </row>
    <row r="533" ht="14.25" customHeight="1">
      <c r="G533" s="55"/>
    </row>
    <row r="534" ht="14.25" customHeight="1">
      <c r="G534" s="55"/>
    </row>
    <row r="535" ht="14.25" customHeight="1">
      <c r="G535" s="55"/>
    </row>
    <row r="536" ht="14.25" customHeight="1">
      <c r="G536" s="55"/>
    </row>
    <row r="537" ht="14.25" customHeight="1">
      <c r="G537" s="55"/>
    </row>
    <row r="538" ht="14.25" customHeight="1">
      <c r="G538" s="55"/>
    </row>
    <row r="539" ht="14.25" customHeight="1">
      <c r="G539" s="55"/>
    </row>
    <row r="540" ht="14.25" customHeight="1">
      <c r="G540" s="55"/>
    </row>
    <row r="541" ht="14.25" customHeight="1">
      <c r="G541" s="55"/>
    </row>
    <row r="542" ht="14.25" customHeight="1">
      <c r="G542" s="55"/>
    </row>
    <row r="543" ht="14.25" customHeight="1">
      <c r="G543" s="55"/>
    </row>
    <row r="544" ht="14.25" customHeight="1">
      <c r="G544" s="55"/>
    </row>
    <row r="545" ht="14.25" customHeight="1">
      <c r="G545" s="55"/>
    </row>
    <row r="546" ht="14.25" customHeight="1">
      <c r="G546" s="55"/>
    </row>
    <row r="547" ht="14.25" customHeight="1">
      <c r="G547" s="55"/>
    </row>
    <row r="548" ht="14.25" customHeight="1">
      <c r="G548" s="55"/>
    </row>
    <row r="549" ht="14.25" customHeight="1">
      <c r="G549" s="55"/>
    </row>
    <row r="550" ht="14.25" customHeight="1">
      <c r="G550" s="55"/>
    </row>
    <row r="551" ht="14.25" customHeight="1">
      <c r="G551" s="55"/>
    </row>
    <row r="552" ht="14.25" customHeight="1">
      <c r="G552" s="55"/>
    </row>
    <row r="553" ht="14.25" customHeight="1">
      <c r="G553" s="55"/>
    </row>
    <row r="554" ht="14.25" customHeight="1">
      <c r="G554" s="55"/>
    </row>
    <row r="555" ht="14.25" customHeight="1">
      <c r="G555" s="55"/>
    </row>
    <row r="556" ht="14.25" customHeight="1">
      <c r="G556" s="55"/>
    </row>
    <row r="557" ht="14.25" customHeight="1">
      <c r="G557" s="55"/>
    </row>
    <row r="558" ht="14.25" customHeight="1">
      <c r="G558" s="55"/>
    </row>
    <row r="559" ht="14.25" customHeight="1">
      <c r="G559" s="55"/>
    </row>
    <row r="560" ht="14.25" customHeight="1">
      <c r="G560" s="55"/>
    </row>
    <row r="561" ht="14.25" customHeight="1">
      <c r="G561" s="55"/>
    </row>
    <row r="562" ht="14.25" customHeight="1">
      <c r="G562" s="55"/>
    </row>
    <row r="563" ht="14.25" customHeight="1">
      <c r="G563" s="55"/>
    </row>
    <row r="564" ht="14.25" customHeight="1">
      <c r="G564" s="55"/>
    </row>
    <row r="565" ht="14.25" customHeight="1">
      <c r="G565" s="55"/>
    </row>
    <row r="566" ht="14.25" customHeight="1">
      <c r="G566" s="55"/>
    </row>
    <row r="567" ht="14.25" customHeight="1">
      <c r="G567" s="55"/>
    </row>
    <row r="568" ht="14.25" customHeight="1">
      <c r="G568" s="55"/>
    </row>
    <row r="569" ht="14.25" customHeight="1">
      <c r="G569" s="55"/>
    </row>
    <row r="570" ht="14.25" customHeight="1">
      <c r="G570" s="55"/>
    </row>
    <row r="571" ht="14.25" customHeight="1">
      <c r="G571" s="55"/>
    </row>
    <row r="572" ht="14.25" customHeight="1">
      <c r="G572" s="55"/>
    </row>
    <row r="573" ht="14.25" customHeight="1">
      <c r="G573" s="55"/>
    </row>
    <row r="574" ht="14.25" customHeight="1">
      <c r="G574" s="55"/>
    </row>
    <row r="575" ht="14.25" customHeight="1">
      <c r="G575" s="55"/>
    </row>
    <row r="576" ht="14.25" customHeight="1">
      <c r="G576" s="55"/>
    </row>
    <row r="577" ht="14.25" customHeight="1">
      <c r="G577" s="55"/>
    </row>
    <row r="578" ht="14.25" customHeight="1">
      <c r="G578" s="55"/>
    </row>
    <row r="579" ht="14.25" customHeight="1">
      <c r="G579" s="55"/>
    </row>
    <row r="580" ht="14.25" customHeight="1">
      <c r="G580" s="55"/>
    </row>
    <row r="581" ht="14.25" customHeight="1">
      <c r="G581" s="55"/>
    </row>
    <row r="582" ht="14.25" customHeight="1">
      <c r="G582" s="55"/>
    </row>
    <row r="583" ht="14.25" customHeight="1">
      <c r="G583" s="55"/>
    </row>
    <row r="584" ht="14.25" customHeight="1">
      <c r="G584" s="55"/>
    </row>
    <row r="585" ht="14.25" customHeight="1">
      <c r="G585" s="55"/>
    </row>
    <row r="586" ht="14.25" customHeight="1">
      <c r="G586" s="55"/>
    </row>
    <row r="587" ht="14.25" customHeight="1">
      <c r="G587" s="55"/>
    </row>
    <row r="588" ht="14.25" customHeight="1">
      <c r="G588" s="55"/>
    </row>
    <row r="589" ht="14.25" customHeight="1">
      <c r="G589" s="55"/>
    </row>
    <row r="590" ht="14.25" customHeight="1">
      <c r="G590" s="55"/>
    </row>
    <row r="591" ht="14.25" customHeight="1">
      <c r="G591" s="55"/>
    </row>
    <row r="592" ht="14.25" customHeight="1">
      <c r="G592" s="55"/>
    </row>
    <row r="593" ht="14.25" customHeight="1">
      <c r="G593" s="55"/>
    </row>
    <row r="594" ht="14.25" customHeight="1">
      <c r="G594" s="55"/>
    </row>
    <row r="595" ht="14.25" customHeight="1">
      <c r="G595" s="55"/>
    </row>
    <row r="596" ht="14.25" customHeight="1">
      <c r="G596" s="55"/>
    </row>
    <row r="597" ht="14.25" customHeight="1">
      <c r="G597" s="55"/>
    </row>
    <row r="598" ht="14.25" customHeight="1">
      <c r="G598" s="55"/>
    </row>
    <row r="599" ht="14.25" customHeight="1">
      <c r="G599" s="55"/>
    </row>
    <row r="600" ht="14.25" customHeight="1">
      <c r="G600" s="55"/>
    </row>
    <row r="601" ht="14.25" customHeight="1">
      <c r="G601" s="55"/>
    </row>
    <row r="602" ht="14.25" customHeight="1">
      <c r="G602" s="55"/>
    </row>
    <row r="603" ht="14.25" customHeight="1">
      <c r="G603" s="55"/>
    </row>
    <row r="604" ht="14.25" customHeight="1">
      <c r="G604" s="55"/>
    </row>
    <row r="605" ht="14.25" customHeight="1">
      <c r="G605" s="55"/>
    </row>
    <row r="606" ht="14.25" customHeight="1">
      <c r="G606" s="55"/>
    </row>
    <row r="607" ht="14.25" customHeight="1">
      <c r="G607" s="55"/>
    </row>
    <row r="608" ht="14.25" customHeight="1">
      <c r="G608" s="55"/>
    </row>
    <row r="609" ht="14.25" customHeight="1">
      <c r="G609" s="55"/>
    </row>
    <row r="610" ht="14.25" customHeight="1">
      <c r="G610" s="55"/>
    </row>
    <row r="611" ht="14.25" customHeight="1">
      <c r="G611" s="55"/>
    </row>
    <row r="612" ht="14.25" customHeight="1">
      <c r="G612" s="55"/>
    </row>
    <row r="613" ht="14.25" customHeight="1">
      <c r="G613" s="55"/>
    </row>
    <row r="614" ht="14.25" customHeight="1">
      <c r="G614" s="55"/>
    </row>
    <row r="615" ht="14.25" customHeight="1">
      <c r="G615" s="55"/>
    </row>
    <row r="616" ht="14.25" customHeight="1">
      <c r="G616" s="55"/>
    </row>
    <row r="617" ht="14.25" customHeight="1">
      <c r="G617" s="55"/>
    </row>
    <row r="618" ht="14.25" customHeight="1">
      <c r="G618" s="55"/>
    </row>
    <row r="619" ht="14.25" customHeight="1">
      <c r="G619" s="55"/>
    </row>
    <row r="620" ht="14.25" customHeight="1">
      <c r="G620" s="55"/>
    </row>
    <row r="621" ht="14.25" customHeight="1">
      <c r="G621" s="55"/>
    </row>
    <row r="622" ht="14.25" customHeight="1">
      <c r="G622" s="55"/>
    </row>
    <row r="623" ht="14.25" customHeight="1">
      <c r="G623" s="55"/>
    </row>
    <row r="624" ht="14.25" customHeight="1">
      <c r="G624" s="55"/>
    </row>
    <row r="625" ht="14.25" customHeight="1">
      <c r="G625" s="55"/>
    </row>
    <row r="626" ht="14.25" customHeight="1">
      <c r="G626" s="55"/>
    </row>
    <row r="627" ht="14.25" customHeight="1">
      <c r="G627" s="55"/>
    </row>
    <row r="628" ht="14.25" customHeight="1">
      <c r="G628" s="55"/>
    </row>
    <row r="629" ht="14.25" customHeight="1">
      <c r="G629" s="55"/>
    </row>
    <row r="630" ht="14.25" customHeight="1">
      <c r="G630" s="55"/>
    </row>
    <row r="631" ht="14.25" customHeight="1">
      <c r="G631" s="55"/>
    </row>
    <row r="632" ht="14.25" customHeight="1">
      <c r="G632" s="55"/>
    </row>
    <row r="633" ht="14.25" customHeight="1">
      <c r="G633" s="55"/>
    </row>
    <row r="634" ht="14.25" customHeight="1">
      <c r="G634" s="55"/>
    </row>
    <row r="635" ht="14.25" customHeight="1">
      <c r="G635" s="55"/>
    </row>
    <row r="636" ht="14.25" customHeight="1">
      <c r="G636" s="55"/>
    </row>
    <row r="637" ht="14.25" customHeight="1">
      <c r="G637" s="55"/>
    </row>
    <row r="638" ht="14.25" customHeight="1">
      <c r="G638" s="55"/>
    </row>
    <row r="639" ht="14.25" customHeight="1">
      <c r="G639" s="55"/>
    </row>
    <row r="640" ht="14.25" customHeight="1">
      <c r="G640" s="55"/>
    </row>
    <row r="641" ht="14.25" customHeight="1">
      <c r="G641" s="55"/>
    </row>
    <row r="642" ht="14.25" customHeight="1">
      <c r="G642" s="55"/>
    </row>
    <row r="643" ht="14.25" customHeight="1">
      <c r="G643" s="55"/>
    </row>
    <row r="644" ht="14.25" customHeight="1">
      <c r="G644" s="55"/>
    </row>
    <row r="645" ht="14.25" customHeight="1">
      <c r="G645" s="55"/>
    </row>
    <row r="646" ht="14.25" customHeight="1">
      <c r="G646" s="55"/>
    </row>
    <row r="647" ht="14.25" customHeight="1">
      <c r="G647" s="55"/>
    </row>
    <row r="648" ht="14.25" customHeight="1">
      <c r="G648" s="55"/>
    </row>
    <row r="649" ht="14.25" customHeight="1">
      <c r="G649" s="55"/>
    </row>
    <row r="650" ht="14.25" customHeight="1">
      <c r="G650" s="55"/>
    </row>
    <row r="651" ht="14.25" customHeight="1">
      <c r="G651" s="55"/>
    </row>
    <row r="652" ht="14.25" customHeight="1">
      <c r="G652" s="55"/>
    </row>
    <row r="653" ht="14.25" customHeight="1">
      <c r="G653" s="55"/>
    </row>
    <row r="654" ht="14.25" customHeight="1">
      <c r="G654" s="55"/>
    </row>
    <row r="655" ht="14.25" customHeight="1">
      <c r="G655" s="55"/>
    </row>
    <row r="656" ht="14.25" customHeight="1">
      <c r="G656" s="55"/>
    </row>
    <row r="657" ht="14.25" customHeight="1">
      <c r="G657" s="55"/>
    </row>
    <row r="658" ht="14.25" customHeight="1">
      <c r="G658" s="55"/>
    </row>
    <row r="659" ht="14.25" customHeight="1">
      <c r="G659" s="55"/>
    </row>
    <row r="660" ht="14.25" customHeight="1">
      <c r="G660" s="55"/>
    </row>
    <row r="661" ht="14.25" customHeight="1">
      <c r="G661" s="55"/>
    </row>
    <row r="662" ht="14.25" customHeight="1">
      <c r="G662" s="55"/>
    </row>
    <row r="663" ht="14.25" customHeight="1">
      <c r="G663" s="55"/>
    </row>
    <row r="664" ht="14.25" customHeight="1">
      <c r="G664" s="55"/>
    </row>
    <row r="665" ht="14.25" customHeight="1">
      <c r="G665" s="55"/>
    </row>
    <row r="666" ht="14.25" customHeight="1">
      <c r="G666" s="55"/>
    </row>
    <row r="667" ht="14.25" customHeight="1">
      <c r="G667" s="55"/>
    </row>
    <row r="668" ht="14.25" customHeight="1">
      <c r="G668" s="55"/>
    </row>
    <row r="669" ht="14.25" customHeight="1">
      <c r="G669" s="55"/>
    </row>
    <row r="670" ht="14.25" customHeight="1">
      <c r="G670" s="55"/>
    </row>
    <row r="671" ht="14.25" customHeight="1">
      <c r="G671" s="55"/>
    </row>
    <row r="672" ht="14.25" customHeight="1">
      <c r="G672" s="55"/>
    </row>
    <row r="673" ht="14.25" customHeight="1">
      <c r="G673" s="55"/>
    </row>
    <row r="674" ht="14.25" customHeight="1">
      <c r="G674" s="55"/>
    </row>
    <row r="675" ht="14.25" customHeight="1">
      <c r="G675" s="55"/>
    </row>
    <row r="676" ht="14.25" customHeight="1">
      <c r="G676" s="55"/>
    </row>
    <row r="677" ht="14.25" customHeight="1">
      <c r="G677" s="55"/>
    </row>
    <row r="678" ht="14.25" customHeight="1">
      <c r="G678" s="55"/>
    </row>
    <row r="679" ht="14.25" customHeight="1">
      <c r="G679" s="55"/>
    </row>
    <row r="680" ht="14.25" customHeight="1">
      <c r="G680" s="55"/>
    </row>
    <row r="681" ht="14.25" customHeight="1">
      <c r="G681" s="55"/>
    </row>
    <row r="682" ht="14.25" customHeight="1">
      <c r="G682" s="55"/>
    </row>
    <row r="683" ht="14.25" customHeight="1">
      <c r="G683" s="55"/>
    </row>
    <row r="684" ht="14.25" customHeight="1">
      <c r="G684" s="55"/>
    </row>
    <row r="685" ht="14.25" customHeight="1">
      <c r="G685" s="55"/>
    </row>
    <row r="686" ht="14.25" customHeight="1">
      <c r="G686" s="55"/>
    </row>
    <row r="687" ht="14.25" customHeight="1">
      <c r="G687" s="55"/>
    </row>
    <row r="688" ht="14.25" customHeight="1">
      <c r="G688" s="55"/>
    </row>
    <row r="689" ht="14.25" customHeight="1">
      <c r="G689" s="55"/>
    </row>
    <row r="690" ht="14.25" customHeight="1">
      <c r="G690" s="55"/>
    </row>
    <row r="691" ht="14.25" customHeight="1">
      <c r="G691" s="55"/>
    </row>
    <row r="692" ht="14.25" customHeight="1">
      <c r="G692" s="55"/>
    </row>
    <row r="693" ht="14.25" customHeight="1">
      <c r="G693" s="55"/>
    </row>
    <row r="694" ht="14.25" customHeight="1">
      <c r="G694" s="55"/>
    </row>
    <row r="695" ht="14.25" customHeight="1">
      <c r="G695" s="55"/>
    </row>
    <row r="696" ht="14.25" customHeight="1">
      <c r="G696" s="55"/>
    </row>
    <row r="697" ht="14.25" customHeight="1">
      <c r="G697" s="55"/>
    </row>
    <row r="698" ht="14.25" customHeight="1">
      <c r="G698" s="55"/>
    </row>
    <row r="699" ht="14.25" customHeight="1">
      <c r="G699" s="55"/>
    </row>
    <row r="700" ht="14.25" customHeight="1">
      <c r="G700" s="55"/>
    </row>
    <row r="701" ht="14.25" customHeight="1">
      <c r="G701" s="55"/>
    </row>
    <row r="702" ht="14.25" customHeight="1">
      <c r="G702" s="55"/>
    </row>
    <row r="703" ht="14.25" customHeight="1">
      <c r="G703" s="55"/>
    </row>
    <row r="704" ht="14.25" customHeight="1">
      <c r="G704" s="55"/>
    </row>
    <row r="705" ht="14.25" customHeight="1">
      <c r="G705" s="55"/>
    </row>
    <row r="706" ht="14.25" customHeight="1">
      <c r="G706" s="55"/>
    </row>
    <row r="707" ht="14.25" customHeight="1">
      <c r="G707" s="55"/>
    </row>
    <row r="708" ht="14.25" customHeight="1">
      <c r="G708" s="55"/>
    </row>
    <row r="709" ht="14.25" customHeight="1">
      <c r="G709" s="55"/>
    </row>
    <row r="710" ht="14.25" customHeight="1">
      <c r="G710" s="55"/>
    </row>
    <row r="711" ht="14.25" customHeight="1">
      <c r="G711" s="55"/>
    </row>
    <row r="712" ht="14.25" customHeight="1">
      <c r="G712" s="55"/>
    </row>
    <row r="713" ht="14.25" customHeight="1">
      <c r="G713" s="55"/>
    </row>
    <row r="714" ht="14.25" customHeight="1">
      <c r="G714" s="55"/>
    </row>
    <row r="715" ht="14.25" customHeight="1">
      <c r="G715" s="55"/>
    </row>
    <row r="716" ht="14.25" customHeight="1">
      <c r="G716" s="55"/>
    </row>
    <row r="717" ht="14.25" customHeight="1">
      <c r="G717" s="55"/>
    </row>
    <row r="718" ht="14.25" customHeight="1">
      <c r="G718" s="55"/>
    </row>
    <row r="719" ht="14.25" customHeight="1">
      <c r="G719" s="55"/>
    </row>
    <row r="720" ht="14.25" customHeight="1">
      <c r="G720" s="55"/>
    </row>
    <row r="721" ht="14.25" customHeight="1">
      <c r="G721" s="55"/>
    </row>
    <row r="722" ht="14.25" customHeight="1">
      <c r="G722" s="55"/>
    </row>
    <row r="723" ht="14.25" customHeight="1">
      <c r="G723" s="55"/>
    </row>
    <row r="724" ht="14.25" customHeight="1">
      <c r="G724" s="55"/>
    </row>
    <row r="725" ht="14.25" customHeight="1">
      <c r="G725" s="55"/>
    </row>
    <row r="726" ht="14.25" customHeight="1">
      <c r="G726" s="55"/>
    </row>
    <row r="727" ht="14.25" customHeight="1">
      <c r="G727" s="55"/>
    </row>
    <row r="728" ht="14.25" customHeight="1">
      <c r="G728" s="55"/>
    </row>
    <row r="729" ht="14.25" customHeight="1">
      <c r="G729" s="55"/>
    </row>
    <row r="730" ht="14.25" customHeight="1">
      <c r="G730" s="55"/>
    </row>
    <row r="731" ht="14.25" customHeight="1">
      <c r="G731" s="55"/>
    </row>
    <row r="732" ht="14.25" customHeight="1">
      <c r="G732" s="55"/>
    </row>
    <row r="733" ht="14.25" customHeight="1">
      <c r="G733" s="55"/>
    </row>
    <row r="734" ht="14.25" customHeight="1">
      <c r="G734" s="55"/>
    </row>
    <row r="735" ht="14.25" customHeight="1">
      <c r="G735" s="55"/>
    </row>
    <row r="736" ht="14.25" customHeight="1">
      <c r="G736" s="55"/>
    </row>
    <row r="737" ht="14.25" customHeight="1">
      <c r="G737" s="55"/>
    </row>
    <row r="738" ht="14.25" customHeight="1">
      <c r="G738" s="55"/>
    </row>
    <row r="739" ht="14.25" customHeight="1">
      <c r="G739" s="55"/>
    </row>
    <row r="740" ht="14.25" customHeight="1">
      <c r="G740" s="55"/>
    </row>
    <row r="741" ht="14.25" customHeight="1">
      <c r="G741" s="55"/>
    </row>
    <row r="742" ht="14.25" customHeight="1">
      <c r="G742" s="55"/>
    </row>
    <row r="743" ht="14.25" customHeight="1">
      <c r="G743" s="55"/>
    </row>
    <row r="744" ht="14.25" customHeight="1">
      <c r="G744" s="55"/>
    </row>
    <row r="745" ht="14.25" customHeight="1">
      <c r="G745" s="55"/>
    </row>
    <row r="746" ht="14.25" customHeight="1">
      <c r="G746" s="55"/>
    </row>
    <row r="747" ht="14.25" customHeight="1">
      <c r="G747" s="55"/>
    </row>
    <row r="748" ht="14.25" customHeight="1">
      <c r="G748" s="55"/>
    </row>
    <row r="749" ht="14.25" customHeight="1">
      <c r="G749" s="55"/>
    </row>
    <row r="750" ht="14.25" customHeight="1">
      <c r="G750" s="55"/>
    </row>
    <row r="751" ht="14.25" customHeight="1">
      <c r="G751" s="55"/>
    </row>
    <row r="752" ht="14.25" customHeight="1">
      <c r="G752" s="55"/>
    </row>
    <row r="753" ht="14.25" customHeight="1">
      <c r="G753" s="55"/>
    </row>
    <row r="754" ht="14.25" customHeight="1">
      <c r="G754" s="55"/>
    </row>
    <row r="755" ht="14.25" customHeight="1">
      <c r="G755" s="55"/>
    </row>
    <row r="756" ht="14.25" customHeight="1">
      <c r="G756" s="55"/>
    </row>
    <row r="757" ht="14.25" customHeight="1">
      <c r="G757" s="55"/>
    </row>
    <row r="758" ht="14.25" customHeight="1">
      <c r="G758" s="55"/>
    </row>
    <row r="759" ht="14.25" customHeight="1">
      <c r="G759" s="55"/>
    </row>
    <row r="760" ht="14.25" customHeight="1">
      <c r="G760" s="55"/>
    </row>
    <row r="761" ht="14.25" customHeight="1">
      <c r="G761" s="55"/>
    </row>
    <row r="762" ht="14.25" customHeight="1">
      <c r="G762" s="55"/>
    </row>
    <row r="763" ht="14.25" customHeight="1">
      <c r="G763" s="55"/>
    </row>
    <row r="764" ht="14.25" customHeight="1">
      <c r="G764" s="55"/>
    </row>
    <row r="765" ht="14.25" customHeight="1">
      <c r="G765" s="55"/>
    </row>
    <row r="766" ht="14.25" customHeight="1">
      <c r="G766" s="55"/>
    </row>
    <row r="767" ht="14.25" customHeight="1">
      <c r="G767" s="55"/>
    </row>
    <row r="768" ht="14.25" customHeight="1">
      <c r="G768" s="55"/>
    </row>
    <row r="769" ht="14.25" customHeight="1">
      <c r="G769" s="55"/>
    </row>
    <row r="770" ht="14.25" customHeight="1">
      <c r="G770" s="55"/>
    </row>
    <row r="771" ht="14.25" customHeight="1">
      <c r="G771" s="55"/>
    </row>
    <row r="772" ht="14.25" customHeight="1">
      <c r="G772" s="55"/>
    </row>
    <row r="773" ht="14.25" customHeight="1">
      <c r="G773" s="55"/>
    </row>
    <row r="774" ht="14.25" customHeight="1">
      <c r="G774" s="55"/>
    </row>
    <row r="775" ht="14.25" customHeight="1">
      <c r="G775" s="55"/>
    </row>
    <row r="776" ht="14.25" customHeight="1">
      <c r="G776" s="55"/>
    </row>
    <row r="777" ht="14.25" customHeight="1">
      <c r="G777" s="55"/>
    </row>
    <row r="778" ht="14.25" customHeight="1">
      <c r="G778" s="55"/>
    </row>
    <row r="779" ht="14.25" customHeight="1">
      <c r="G779" s="55"/>
    </row>
    <row r="780" ht="14.25" customHeight="1">
      <c r="G780" s="55"/>
    </row>
    <row r="781" ht="14.25" customHeight="1">
      <c r="G781" s="55"/>
    </row>
    <row r="782" ht="14.25" customHeight="1">
      <c r="G782" s="55"/>
    </row>
    <row r="783" ht="14.25" customHeight="1">
      <c r="G783" s="55"/>
    </row>
    <row r="784" ht="14.25" customHeight="1">
      <c r="G784" s="55"/>
    </row>
    <row r="785" ht="14.25" customHeight="1">
      <c r="G785" s="55"/>
    </row>
    <row r="786" ht="14.25" customHeight="1">
      <c r="G786" s="55"/>
    </row>
    <row r="787" ht="14.25" customHeight="1">
      <c r="G787" s="55"/>
    </row>
    <row r="788" ht="14.25" customHeight="1">
      <c r="G788" s="55"/>
    </row>
    <row r="789" ht="14.25" customHeight="1">
      <c r="G789" s="55"/>
    </row>
    <row r="790" ht="14.25" customHeight="1">
      <c r="G790" s="55"/>
    </row>
    <row r="791" ht="14.25" customHeight="1">
      <c r="G791" s="55"/>
    </row>
    <row r="792" ht="14.25" customHeight="1">
      <c r="G792" s="55"/>
    </row>
    <row r="793" ht="14.25" customHeight="1">
      <c r="G793" s="55"/>
    </row>
    <row r="794" ht="14.25" customHeight="1">
      <c r="G794" s="55"/>
    </row>
    <row r="795" ht="14.25" customHeight="1">
      <c r="G795" s="55"/>
    </row>
    <row r="796" ht="14.25" customHeight="1">
      <c r="G796" s="55"/>
    </row>
    <row r="797" ht="14.25" customHeight="1">
      <c r="G797" s="55"/>
    </row>
    <row r="798" ht="14.25" customHeight="1">
      <c r="G798" s="55"/>
    </row>
    <row r="799" ht="14.25" customHeight="1">
      <c r="G799" s="55"/>
    </row>
    <row r="800" ht="14.25" customHeight="1">
      <c r="G800" s="55"/>
    </row>
    <row r="801" ht="14.25" customHeight="1">
      <c r="G801" s="55"/>
    </row>
    <row r="802" ht="14.25" customHeight="1">
      <c r="G802" s="55"/>
    </row>
    <row r="803" ht="14.25" customHeight="1">
      <c r="G803" s="55"/>
    </row>
    <row r="804" ht="14.25" customHeight="1">
      <c r="G804" s="55"/>
    </row>
    <row r="805" ht="14.25" customHeight="1">
      <c r="G805" s="55"/>
    </row>
    <row r="806" ht="14.25" customHeight="1">
      <c r="G806" s="55"/>
    </row>
    <row r="807" ht="14.25" customHeight="1">
      <c r="G807" s="55"/>
    </row>
    <row r="808" ht="14.25" customHeight="1">
      <c r="G808" s="55"/>
    </row>
    <row r="809" ht="14.25" customHeight="1">
      <c r="G809" s="55"/>
    </row>
    <row r="810" ht="14.25" customHeight="1">
      <c r="G810" s="55"/>
    </row>
    <row r="811" ht="14.25" customHeight="1">
      <c r="G811" s="55"/>
    </row>
    <row r="812" ht="14.25" customHeight="1">
      <c r="G812" s="55"/>
    </row>
    <row r="813" ht="14.25" customHeight="1">
      <c r="G813" s="55"/>
    </row>
    <row r="814" ht="14.25" customHeight="1">
      <c r="G814" s="55"/>
    </row>
    <row r="815" ht="14.25" customHeight="1">
      <c r="G815" s="55"/>
    </row>
    <row r="816" ht="14.25" customHeight="1">
      <c r="G816" s="55"/>
    </row>
    <row r="817" ht="14.25" customHeight="1">
      <c r="G817" s="55"/>
    </row>
    <row r="818" ht="14.25" customHeight="1">
      <c r="G818" s="55"/>
    </row>
    <row r="819" ht="14.25" customHeight="1">
      <c r="G819" s="55"/>
    </row>
    <row r="820" ht="14.25" customHeight="1">
      <c r="G820" s="55"/>
    </row>
    <row r="821" ht="14.25" customHeight="1">
      <c r="G821" s="55"/>
    </row>
    <row r="822" ht="14.25" customHeight="1">
      <c r="G822" s="55"/>
    </row>
    <row r="823" ht="14.25" customHeight="1">
      <c r="G823" s="55"/>
    </row>
    <row r="824" ht="14.25" customHeight="1">
      <c r="G824" s="55"/>
    </row>
    <row r="825" ht="14.25" customHeight="1">
      <c r="G825" s="55"/>
    </row>
    <row r="826" ht="14.25" customHeight="1">
      <c r="G826" s="55"/>
    </row>
    <row r="827" ht="14.25" customHeight="1">
      <c r="G827" s="55"/>
    </row>
    <row r="828" ht="14.25" customHeight="1">
      <c r="G828" s="55"/>
    </row>
    <row r="829" ht="14.25" customHeight="1">
      <c r="G829" s="55"/>
    </row>
    <row r="830" ht="14.25" customHeight="1">
      <c r="G830" s="55"/>
    </row>
    <row r="831" ht="14.25" customHeight="1">
      <c r="G831" s="55"/>
    </row>
    <row r="832" ht="14.25" customHeight="1">
      <c r="G832" s="55"/>
    </row>
    <row r="833" ht="14.25" customHeight="1">
      <c r="G833" s="55"/>
    </row>
    <row r="834" ht="14.25" customHeight="1">
      <c r="G834" s="55"/>
    </row>
    <row r="835" ht="14.25" customHeight="1">
      <c r="G835" s="55"/>
    </row>
    <row r="836" ht="14.25" customHeight="1">
      <c r="G836" s="55"/>
    </row>
    <row r="837" ht="14.25" customHeight="1">
      <c r="G837" s="55"/>
    </row>
    <row r="838" ht="14.25" customHeight="1">
      <c r="G838" s="55"/>
    </row>
    <row r="839" ht="14.25" customHeight="1">
      <c r="G839" s="55"/>
    </row>
    <row r="840" ht="14.25" customHeight="1">
      <c r="G840" s="55"/>
    </row>
    <row r="841" ht="14.25" customHeight="1">
      <c r="G841" s="55"/>
    </row>
    <row r="842" ht="14.25" customHeight="1">
      <c r="G842" s="55"/>
    </row>
    <row r="843" ht="14.25" customHeight="1">
      <c r="G843" s="55"/>
    </row>
    <row r="844" ht="14.25" customHeight="1">
      <c r="G844" s="55"/>
    </row>
    <row r="845" ht="14.25" customHeight="1">
      <c r="G845" s="55"/>
    </row>
    <row r="846" ht="14.25" customHeight="1">
      <c r="G846" s="55"/>
    </row>
    <row r="847" ht="14.25" customHeight="1">
      <c r="G847" s="55"/>
    </row>
    <row r="848" ht="14.25" customHeight="1">
      <c r="G848" s="55"/>
    </row>
    <row r="849" ht="14.25" customHeight="1">
      <c r="G849" s="55"/>
    </row>
    <row r="850" ht="14.25" customHeight="1">
      <c r="G850" s="55"/>
    </row>
    <row r="851" ht="14.25" customHeight="1">
      <c r="G851" s="55"/>
    </row>
    <row r="852" ht="14.25" customHeight="1">
      <c r="G852" s="55"/>
    </row>
    <row r="853" ht="14.25" customHeight="1">
      <c r="G853" s="55"/>
    </row>
    <row r="854" ht="14.25" customHeight="1">
      <c r="G854" s="55"/>
    </row>
    <row r="855" ht="14.25" customHeight="1">
      <c r="G855" s="55"/>
    </row>
    <row r="856" ht="14.25" customHeight="1">
      <c r="G856" s="55"/>
    </row>
    <row r="857" ht="14.25" customHeight="1">
      <c r="G857" s="55"/>
    </row>
    <row r="858" ht="14.25" customHeight="1">
      <c r="G858" s="55"/>
    </row>
    <row r="859" ht="14.25" customHeight="1">
      <c r="G859" s="55"/>
    </row>
    <row r="860" ht="14.25" customHeight="1">
      <c r="G860" s="55"/>
    </row>
    <row r="861" ht="14.25" customHeight="1">
      <c r="G861" s="55"/>
    </row>
    <row r="862" ht="14.25" customHeight="1">
      <c r="G862" s="55"/>
    </row>
    <row r="863" ht="14.25" customHeight="1">
      <c r="G863" s="55"/>
    </row>
    <row r="864" ht="14.25" customHeight="1">
      <c r="G864" s="55"/>
    </row>
    <row r="865" ht="14.25" customHeight="1">
      <c r="G865" s="55"/>
    </row>
    <row r="866" ht="14.25" customHeight="1">
      <c r="G866" s="55"/>
    </row>
    <row r="867" ht="14.25" customHeight="1">
      <c r="G867" s="55"/>
    </row>
    <row r="868" ht="14.25" customHeight="1">
      <c r="G868" s="55"/>
    </row>
    <row r="869" ht="14.25" customHeight="1">
      <c r="G869" s="55"/>
    </row>
    <row r="870" ht="14.25" customHeight="1">
      <c r="G870" s="55"/>
    </row>
    <row r="871" ht="14.25" customHeight="1">
      <c r="G871" s="55"/>
    </row>
    <row r="872" ht="14.25" customHeight="1">
      <c r="G872" s="55"/>
    </row>
    <row r="873" ht="14.25" customHeight="1">
      <c r="G873" s="55"/>
    </row>
    <row r="874" ht="14.25" customHeight="1">
      <c r="G874" s="55"/>
    </row>
    <row r="875" ht="14.25" customHeight="1">
      <c r="G875" s="55"/>
    </row>
    <row r="876" ht="14.25" customHeight="1">
      <c r="G876" s="55"/>
    </row>
    <row r="877" ht="14.25" customHeight="1">
      <c r="G877" s="55"/>
    </row>
    <row r="878" ht="14.25" customHeight="1">
      <c r="G878" s="55"/>
    </row>
    <row r="879" ht="14.25" customHeight="1">
      <c r="G879" s="55"/>
    </row>
    <row r="880" ht="14.25" customHeight="1">
      <c r="G880" s="55"/>
    </row>
    <row r="881" ht="14.25" customHeight="1">
      <c r="G881" s="55"/>
    </row>
    <row r="882" ht="14.25" customHeight="1">
      <c r="G882" s="55"/>
    </row>
    <row r="883" ht="14.25" customHeight="1">
      <c r="G883" s="55"/>
    </row>
    <row r="884" ht="14.25" customHeight="1">
      <c r="G884" s="55"/>
    </row>
    <row r="885" ht="14.25" customHeight="1">
      <c r="G885" s="55"/>
    </row>
    <row r="886" ht="14.25" customHeight="1">
      <c r="G886" s="55"/>
    </row>
    <row r="887" ht="14.25" customHeight="1">
      <c r="G887" s="55"/>
    </row>
    <row r="888" ht="14.25" customHeight="1">
      <c r="G888" s="55"/>
    </row>
    <row r="889" ht="14.25" customHeight="1">
      <c r="G889" s="55"/>
    </row>
    <row r="890" ht="14.25" customHeight="1">
      <c r="G890" s="55"/>
    </row>
    <row r="891" ht="14.25" customHeight="1">
      <c r="G891" s="55"/>
    </row>
    <row r="892" ht="14.25" customHeight="1">
      <c r="G892" s="55"/>
    </row>
    <row r="893" ht="14.25" customHeight="1">
      <c r="G893" s="55"/>
    </row>
    <row r="894" ht="14.25" customHeight="1">
      <c r="G894" s="55"/>
    </row>
    <row r="895" ht="14.25" customHeight="1">
      <c r="G895" s="55"/>
    </row>
    <row r="896" ht="14.25" customHeight="1">
      <c r="G896" s="55"/>
    </row>
    <row r="897" ht="14.25" customHeight="1">
      <c r="G897" s="55"/>
    </row>
    <row r="898" ht="14.25" customHeight="1">
      <c r="G898" s="55"/>
    </row>
    <row r="899" ht="14.25" customHeight="1">
      <c r="G899" s="55"/>
    </row>
    <row r="900" ht="14.25" customHeight="1">
      <c r="G900" s="55"/>
    </row>
    <row r="901" ht="14.25" customHeight="1">
      <c r="G901" s="55"/>
    </row>
    <row r="902" ht="14.25" customHeight="1">
      <c r="G902" s="55"/>
    </row>
    <row r="903" ht="14.25" customHeight="1">
      <c r="G903" s="55"/>
    </row>
    <row r="904" ht="14.25" customHeight="1">
      <c r="G904" s="55"/>
    </row>
    <row r="905" ht="14.25" customHeight="1">
      <c r="G905" s="55"/>
    </row>
    <row r="906" ht="14.25" customHeight="1">
      <c r="G906" s="55"/>
    </row>
    <row r="907" ht="14.25" customHeight="1">
      <c r="G907" s="55"/>
    </row>
    <row r="908" ht="14.25" customHeight="1">
      <c r="G908" s="55"/>
    </row>
  </sheetData>
  <mergeCells count="6">
    <mergeCell ref="F6:G6"/>
    <mergeCell ref="F7:G7"/>
    <mergeCell ref="B9:B12"/>
    <mergeCell ref="B15:B18"/>
    <mergeCell ref="B20:B21"/>
    <mergeCell ref="B48:C48"/>
  </mergeCells>
  <conditionalFormatting sqref="C1">
    <cfRule type="notContainsBlanks" dxfId="8" priority="1">
      <formula>LEN(TRIM(C1))&gt;0</formula>
    </cfRule>
  </conditionalFormatting>
  <dataValidations>
    <dataValidation type="list" allowBlank="1" sqref="C35">
      <formula1>"Gross Margin,Net Margin"</formula1>
    </dataValidation>
    <dataValidation type="list" allowBlank="1" sqref="C3">
      <formula1>"Nómina,Prestación de Servicios,Deel/Ontop"</formula1>
    </dataValidation>
    <dataValidation type="list" allowBlank="1" showErrorMessage="1" sqref="D24:D31">
      <formula1>"Nómina,P. Servicios"</formula1>
    </dataValidation>
    <dataValidation type="list" allowBlank="1" sqref="B24:B31">
      <formula1>'Parámetros'!$A$2:$A$113</formula1>
    </dataValidation>
    <dataValidation type="list" allowBlank="1" sqref="C2">
      <formula1>'Parámetros'!$A$118:$A$123</formula1>
    </dataValidation>
    <dataValidation type="list" allowBlank="1" sqref="D35">
      <formula1>"COP,USD"</formula1>
    </dataValidation>
  </dataValidations>
  <printOptions/>
  <pageMargins bottom="0.75" footer="0.0" header="0.0" left="0.7" right="0.7" top="0.75"/>
  <pageSetup orientation="portrait"/>
  <drawing r:id="rId1"/>
  <tableParts count="3">
    <tablePart r:id="rId5"/>
    <tablePart r:id="rId6"/>
    <tablePart r:id="rId7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4.14"/>
    <col customWidth="1" min="2" max="2" width="32.29"/>
    <col customWidth="1" min="3" max="3" width="23.14"/>
    <col customWidth="1" min="4" max="4" width="16.29"/>
    <col customWidth="1" min="5" max="5" width="14.86"/>
    <col customWidth="1" min="6" max="6" width="18.0"/>
    <col customWidth="1" min="7" max="7" width="16.29"/>
    <col customWidth="1" min="8" max="8" width="15.14"/>
    <col customWidth="1" min="9" max="9" width="12.0"/>
    <col customWidth="1" min="10" max="10" width="26.57"/>
    <col customWidth="1" min="11" max="11" width="14.86"/>
    <col customWidth="1" min="12" max="12" width="14.71"/>
    <col customWidth="1" min="13" max="13" width="17.29"/>
    <col customWidth="1" min="14" max="14" width="15.57"/>
    <col customWidth="1" min="15" max="15" width="10.71"/>
    <col customWidth="1" min="16" max="16" width="23.14"/>
    <col customWidth="1" min="17" max="17" width="17.57"/>
    <col customWidth="1" min="18" max="18" width="15.71"/>
    <col customWidth="1" min="19" max="19" width="18.86"/>
    <col customWidth="1" hidden="1" min="20" max="20" width="13.71"/>
    <col customWidth="1" hidden="1" min="21" max="21" width="13.43"/>
    <col customWidth="1" hidden="1" min="22" max="32" width="10.71"/>
  </cols>
  <sheetData>
    <row r="1" ht="8.25" customHeight="1">
      <c r="A1" s="200"/>
      <c r="B1" s="200"/>
      <c r="C1" s="200"/>
      <c r="D1" s="200"/>
      <c r="E1" s="200"/>
      <c r="F1" s="200"/>
      <c r="G1" s="201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</row>
    <row r="2" ht="15.75" customHeight="1">
      <c r="A2" s="200"/>
      <c r="B2" s="202" t="s">
        <v>150</v>
      </c>
      <c r="C2" s="203" t="s">
        <v>93</v>
      </c>
      <c r="D2" s="16"/>
      <c r="E2" s="200"/>
      <c r="F2" s="200"/>
      <c r="G2" s="205"/>
      <c r="H2" s="206"/>
      <c r="I2" s="206"/>
      <c r="J2" s="207"/>
      <c r="K2" s="206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0"/>
      <c r="AD2" s="200"/>
      <c r="AE2" s="200"/>
      <c r="AF2" s="200"/>
    </row>
    <row r="3" ht="15.75" customHeight="1">
      <c r="A3" s="200"/>
      <c r="B3" s="202" t="s">
        <v>25</v>
      </c>
      <c r="C3" s="208" t="s">
        <v>41</v>
      </c>
      <c r="D3" s="16"/>
      <c r="E3" s="200"/>
      <c r="F3" s="209"/>
      <c r="G3" s="210"/>
      <c r="H3" s="200"/>
      <c r="I3" s="200"/>
      <c r="J3" s="211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200"/>
    </row>
    <row r="4" ht="15.75" customHeight="1">
      <c r="A4" s="200"/>
      <c r="B4" s="202" t="s">
        <v>27</v>
      </c>
      <c r="C4" s="307">
        <f>VLOOKUP(C2,'Parámetros'!$A$118:$B$124,2,0)*IF(C3="Nómina",1.38522,IF(C3="Prestación de Servicios",1,1.15))</f>
        <v>0.1177437</v>
      </c>
      <c r="D4" s="16"/>
      <c r="E4" s="200"/>
      <c r="H4" s="200"/>
      <c r="I4" s="200"/>
      <c r="J4" s="211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</row>
    <row r="5" ht="15.75" customHeight="1">
      <c r="A5" s="200"/>
      <c r="B5" s="202" t="s">
        <v>28</v>
      </c>
      <c r="C5" s="218">
        <v>0.0</v>
      </c>
      <c r="D5" s="16"/>
      <c r="E5" s="200"/>
      <c r="F5" s="219" t="s">
        <v>155</v>
      </c>
      <c r="G5" s="220">
        <f>VLOOKUP($C$2,'Parámetros'!$A$118:$D$124,3,0)</f>
        <v>0.3</v>
      </c>
      <c r="H5" s="200"/>
      <c r="I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</row>
    <row r="6" ht="15.75" customHeight="1">
      <c r="A6" s="200"/>
      <c r="B6" s="202" t="s">
        <v>157</v>
      </c>
      <c r="C6" s="222"/>
      <c r="D6" s="16"/>
      <c r="E6" s="200"/>
      <c r="F6" s="221" t="str">
        <f>IF(D10&gt;=G5,"Dentro del margen","¡Por debajo del margen!")</f>
        <v>Dentro del margen</v>
      </c>
      <c r="H6" s="200"/>
      <c r="I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0"/>
      <c r="AA6" s="200"/>
      <c r="AB6" s="200"/>
      <c r="AC6" s="200"/>
      <c r="AD6" s="200"/>
      <c r="AE6" s="200"/>
      <c r="AF6" s="200"/>
    </row>
    <row r="7" ht="15.75" customHeight="1">
      <c r="A7" s="200"/>
      <c r="B7" s="202" t="s">
        <v>158</v>
      </c>
      <c r="C7" s="208">
        <v>1.0</v>
      </c>
      <c r="D7" s="16"/>
      <c r="E7" s="200"/>
      <c r="H7" s="223"/>
      <c r="I7" s="223"/>
      <c r="J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  <c r="AA7" s="200"/>
      <c r="AB7" s="200"/>
      <c r="AC7" s="200"/>
      <c r="AD7" s="200"/>
      <c r="AE7" s="200"/>
      <c r="AF7" s="200"/>
    </row>
    <row r="8" ht="15.75" customHeight="1">
      <c r="A8" s="200"/>
      <c r="B8" s="224"/>
      <c r="C8" s="16"/>
      <c r="D8" s="16"/>
      <c r="E8" s="200"/>
      <c r="F8" s="202" t="s">
        <v>44</v>
      </c>
      <c r="G8" s="225" t="s">
        <v>45</v>
      </c>
      <c r="H8" s="223"/>
      <c r="I8" s="223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</row>
    <row r="9" ht="13.5" customHeight="1">
      <c r="B9" s="226" t="s">
        <v>7</v>
      </c>
      <c r="C9" s="17" t="s">
        <v>6</v>
      </c>
      <c r="D9" s="227">
        <f>F9*C4</f>
        <v>115001.9538</v>
      </c>
      <c r="E9" s="228" t="s">
        <v>194</v>
      </c>
      <c r="F9" s="320">
        <f>(C53+C49+C51)/((1-D10-'Parámetros'!L8*C5))</f>
        <v>976714.2857</v>
      </c>
      <c r="G9" s="321">
        <f>F9/'Parámetros'!$L$3</f>
        <v>275.1307847</v>
      </c>
      <c r="H9" s="211"/>
      <c r="I9" s="23"/>
      <c r="M9" s="23"/>
      <c r="N9" s="24"/>
      <c r="O9" s="24"/>
    </row>
    <row r="10" ht="15.0" customHeight="1">
      <c r="B10" s="27"/>
      <c r="C10" s="17" t="s">
        <v>9</v>
      </c>
      <c r="D10" s="231">
        <v>0.3</v>
      </c>
      <c r="E10" s="228" t="s">
        <v>195</v>
      </c>
      <c r="F10" s="320">
        <f>F9/C7</f>
        <v>976714.2857</v>
      </c>
      <c r="G10" s="321">
        <f>F10/'Parámetros'!$L$3</f>
        <v>275.1307847</v>
      </c>
      <c r="M10" s="23"/>
      <c r="N10" s="24"/>
      <c r="O10" s="24"/>
    </row>
    <row r="11" ht="17.25" customHeight="1">
      <c r="B11" s="27"/>
      <c r="C11" s="17" t="s">
        <v>15</v>
      </c>
      <c r="D11" s="227">
        <f>F9*'Parámetros'!L5</f>
        <v>6739.328571</v>
      </c>
      <c r="E11" s="228" t="s">
        <v>197</v>
      </c>
      <c r="F11" s="320">
        <f>F9/SUM(D38:D44)</f>
        <v>5426.190476</v>
      </c>
      <c r="G11" s="321">
        <f>G9/SUM(D38:D44)</f>
        <v>1.528504359</v>
      </c>
      <c r="L11" s="22"/>
      <c r="O11" s="28"/>
      <c r="P11" s="28"/>
      <c r="Q11" s="28"/>
    </row>
    <row r="12" ht="14.25" customHeight="1">
      <c r="B12" s="43"/>
      <c r="C12" s="17" t="s">
        <v>18</v>
      </c>
      <c r="D12" s="240">
        <f>(F9-C54-D11-D9-C5*'Parámetros'!L8*F9)/F9</f>
        <v>0.1753563</v>
      </c>
      <c r="G12" s="55"/>
      <c r="L12" s="32"/>
      <c r="M12" s="33"/>
      <c r="O12" s="28"/>
      <c r="P12" s="28"/>
      <c r="Q12" s="28"/>
    </row>
    <row r="13" ht="14.25" customHeight="1">
      <c r="D13" s="235"/>
      <c r="F13" s="236"/>
      <c r="G13" s="55"/>
      <c r="H13" s="237"/>
      <c r="I13" s="237"/>
      <c r="J13" s="237"/>
      <c r="L13" s="32"/>
      <c r="M13" s="37"/>
      <c r="N13" s="38"/>
      <c r="O13" s="39"/>
    </row>
    <row r="14" ht="14.25" customHeight="1">
      <c r="F14" s="236"/>
      <c r="G14" s="55"/>
      <c r="L14" s="22"/>
    </row>
    <row r="15" ht="15.75" customHeight="1">
      <c r="B15" s="226" t="s">
        <v>22</v>
      </c>
      <c r="C15" s="17" t="s">
        <v>6</v>
      </c>
      <c r="D15" s="227">
        <f>F15*C4</f>
        <v>148411.25</v>
      </c>
      <c r="E15" s="228" t="s">
        <v>194</v>
      </c>
      <c r="F15" s="320">
        <f>+(C54/(1-C4-D16-'Parámetros'!L5-C5*'Parámetros'!L8))</f>
        <v>1260460.22</v>
      </c>
      <c r="G15" s="321">
        <f>F15/'Parámetros'!L3</f>
        <v>355.0592169</v>
      </c>
      <c r="L15" s="22"/>
    </row>
    <row r="16" ht="16.5" customHeight="1">
      <c r="B16" s="27"/>
      <c r="C16" s="17" t="s">
        <v>18</v>
      </c>
      <c r="D16" s="231">
        <v>0.3329353737535529</v>
      </c>
      <c r="E16" s="228" t="s">
        <v>195</v>
      </c>
      <c r="F16" s="320">
        <f>F15/C7</f>
        <v>1260460.22</v>
      </c>
      <c r="G16" s="321">
        <f>G15/C7</f>
        <v>355.0592169</v>
      </c>
      <c r="L16" s="32"/>
      <c r="M16" s="33"/>
    </row>
    <row r="17" ht="17.25" customHeight="1">
      <c r="B17" s="27"/>
      <c r="C17" s="17" t="s">
        <v>15</v>
      </c>
      <c r="D17" s="227">
        <f>F15*'Parámetros'!L5</f>
        <v>8697.175518</v>
      </c>
      <c r="E17" s="228" t="s">
        <v>197</v>
      </c>
      <c r="F17" s="320">
        <f>F15/SUM(D38:D44)</f>
        <v>7002.556777</v>
      </c>
      <c r="G17" s="321">
        <f>G15/SUM(D38:D44)</f>
        <v>1.972551205</v>
      </c>
      <c r="L17" s="22"/>
      <c r="M17" s="55"/>
    </row>
    <row r="18" ht="14.25" customHeight="1">
      <c r="B18" s="43"/>
      <c r="C18" s="17" t="s">
        <v>9</v>
      </c>
      <c r="D18" s="240">
        <f>(F15-C49-C51-C53-C5*'Parámetros'!L8*F15)/F15</f>
        <v>0.4575790738</v>
      </c>
      <c r="E18" s="241"/>
      <c r="G18" s="55"/>
    </row>
    <row r="19" ht="14.25" customHeight="1">
      <c r="G19" s="55"/>
    </row>
    <row r="20" ht="14.25" customHeight="1">
      <c r="B20" s="243" t="str">
        <f>'Parámetros'!B149</f>
        <v>Considerar como mínimo por cada Dev: 
 PM:33%, QA:20%, Diseño:10%</v>
      </c>
      <c r="C20" s="244"/>
      <c r="G20" s="55"/>
      <c r="M20" s="245"/>
    </row>
    <row r="21" ht="15.75" customHeight="1">
      <c r="B21" s="246"/>
      <c r="C21" s="244"/>
      <c r="G21" s="55"/>
    </row>
    <row r="22" ht="15.75" customHeight="1">
      <c r="E22" s="332">
        <f>SUM(E24:E31)*C7*100%</f>
        <v>1</v>
      </c>
      <c r="G22" s="248"/>
    </row>
    <row r="23" ht="14.25" customHeight="1">
      <c r="B23" s="249" t="s">
        <v>31</v>
      </c>
      <c r="C23" s="249" t="s">
        <v>32</v>
      </c>
      <c r="D23" s="249" t="s">
        <v>33</v>
      </c>
      <c r="E23" s="250" t="s">
        <v>35</v>
      </c>
      <c r="F23" s="249" t="s">
        <v>202</v>
      </c>
      <c r="G23" s="333" t="s">
        <v>37</v>
      </c>
      <c r="H23" s="334"/>
      <c r="I23" s="146"/>
      <c r="J23" s="146"/>
      <c r="L23" s="67"/>
    </row>
    <row r="24" ht="14.25" customHeight="1">
      <c r="A24" s="251">
        <f>IFERROR(__xludf.DUMMYFUNCTION("COUNTIF(SPLIT(B24,"" ""),""Developer"")"),0.0)</f>
        <v>0</v>
      </c>
      <c r="B24" s="304" t="s">
        <v>206</v>
      </c>
      <c r="C24" s="68" t="str">
        <f>IFERROR(VLOOKUP(B24,'Parámetros'!A$1:B113,2, FALSE),"")</f>
        <v/>
      </c>
      <c r="D24" s="208" t="s">
        <v>41</v>
      </c>
      <c r="E24" s="258">
        <v>1.0</v>
      </c>
      <c r="F24" s="68">
        <f t="shared" ref="F24:F31" si="1">+IFERROR(IF(D24="Nómina",C24*1.38352,C24),"")*E24*$C$7*105%</f>
        <v>0</v>
      </c>
      <c r="G24" s="335">
        <f>F24/(AVERAGE('Parámetros'!$F$5:$F$6)+$F$32)</f>
        <v>0</v>
      </c>
      <c r="H24" s="336"/>
      <c r="I24" s="146"/>
      <c r="J24" s="146"/>
      <c r="L24" s="73"/>
    </row>
    <row r="25" ht="14.25" customHeight="1">
      <c r="A25" s="251">
        <f>IFERROR(__xludf.DUMMYFUNCTION("COUNTIF(SPLIT(B25,"" ""),""Developer"")"),0.0)</f>
        <v>0</v>
      </c>
      <c r="B25" s="304"/>
      <c r="C25" s="68" t="str">
        <f>IFERROR(VLOOKUP(B25,'Parámetros'!A$1:B113,2, FALSE),"")</f>
        <v/>
      </c>
      <c r="D25" s="208" t="s">
        <v>41</v>
      </c>
      <c r="E25" s="258"/>
      <c r="F25" s="68">
        <f t="shared" si="1"/>
        <v>0</v>
      </c>
      <c r="G25" s="335">
        <f>F25/(AVERAGE('Parámetros'!$F$5:$F$6)+$F$32)</f>
        <v>0</v>
      </c>
      <c r="H25" s="336"/>
      <c r="I25" s="146"/>
      <c r="J25" s="146"/>
      <c r="L25" s="73"/>
      <c r="R25" s="74"/>
    </row>
    <row r="26" ht="14.25" customHeight="1">
      <c r="A26" s="251">
        <f>IFERROR(__xludf.DUMMYFUNCTION("COUNTIF(SPLIT(B26,"" ""),""Developer"")"),0.0)</f>
        <v>0</v>
      </c>
      <c r="B26" s="304"/>
      <c r="C26" s="68" t="str">
        <f>IFERROR(VLOOKUP(B26,'Parámetros'!A$1:B113,2, FALSE),"")</f>
        <v/>
      </c>
      <c r="D26" s="208" t="s">
        <v>41</v>
      </c>
      <c r="E26" s="258"/>
      <c r="F26" s="68">
        <f t="shared" si="1"/>
        <v>0</v>
      </c>
      <c r="G26" s="335">
        <f>F26/(AVERAGE('Parámetros'!$F$5:$F$6)+$F$32)</f>
        <v>0</v>
      </c>
      <c r="H26" s="336"/>
      <c r="I26" s="146"/>
      <c r="J26" s="146"/>
      <c r="L26" s="73"/>
    </row>
    <row r="27" ht="14.25" customHeight="1">
      <c r="A27" s="251">
        <f>IFERROR(__xludf.DUMMYFUNCTION("COUNTIF(SPLIT(B27,"" ""),""Developer"")"),0.0)</f>
        <v>0</v>
      </c>
      <c r="B27" s="304"/>
      <c r="C27" s="68" t="str">
        <f>IFERROR(VLOOKUP(B27,'Parámetros'!A$1:B114,2, FALSE),"")</f>
        <v/>
      </c>
      <c r="D27" s="208" t="s">
        <v>41</v>
      </c>
      <c r="E27" s="352"/>
      <c r="F27" s="68">
        <f t="shared" si="1"/>
        <v>0</v>
      </c>
      <c r="G27" s="335">
        <f>F27/(AVERAGE('Parámetros'!$F$5:$F$6)+$F$32)</f>
        <v>0</v>
      </c>
      <c r="H27" s="336"/>
      <c r="I27" s="146"/>
      <c r="J27" s="146"/>
      <c r="L27" s="73"/>
    </row>
    <row r="28" ht="14.25" customHeight="1">
      <c r="A28" s="251">
        <f>IFERROR(__xludf.DUMMYFUNCTION("COUNTIF(SPLIT(B28,"" ""),""Developer"")"),0.0)</f>
        <v>0</v>
      </c>
      <c r="B28" s="304"/>
      <c r="C28" s="68" t="str">
        <f>IFERROR(VLOOKUP(B28,'Parámetros'!A$1:B115,2, FALSE),"")</f>
        <v/>
      </c>
      <c r="D28" s="208" t="s">
        <v>41</v>
      </c>
      <c r="E28" s="258"/>
      <c r="F28" s="68">
        <f t="shared" si="1"/>
        <v>0</v>
      </c>
      <c r="G28" s="335">
        <f>F28/(AVERAGE('Parámetros'!$F$5:$F$6)+$F$32)</f>
        <v>0</v>
      </c>
      <c r="H28" s="336"/>
      <c r="I28" s="146"/>
      <c r="J28" s="146"/>
      <c r="L28" s="73"/>
    </row>
    <row r="29" ht="14.25" customHeight="1">
      <c r="A29" s="251">
        <f>IFERROR(__xludf.DUMMYFUNCTION("COUNTIF(SPLIT(B29,"" ""),""Developer"")"),0.0)</f>
        <v>0</v>
      </c>
      <c r="B29" s="304"/>
      <c r="C29" s="68" t="str">
        <f>IFERROR(VLOOKUP(B29,'Parámetros'!A$1:B116,2, FALSE),"")</f>
        <v/>
      </c>
      <c r="D29" s="208" t="s">
        <v>41</v>
      </c>
      <c r="E29" s="258"/>
      <c r="F29" s="68">
        <f t="shared" si="1"/>
        <v>0</v>
      </c>
      <c r="G29" s="335">
        <f>F29/(AVERAGE('Parámetros'!$F$5:$F$6)+$F$32)</f>
        <v>0</v>
      </c>
      <c r="H29" s="336"/>
      <c r="I29" s="146"/>
      <c r="J29" s="146"/>
      <c r="K29" s="146"/>
    </row>
    <row r="30" ht="14.25" customHeight="1">
      <c r="A30" s="251">
        <f>IFERROR(__xludf.DUMMYFUNCTION("COUNTIF(SPLIT(B30,"" ""),""Developer"")"),0.0)</f>
        <v>0</v>
      </c>
      <c r="B30" s="304"/>
      <c r="C30" s="68" t="str">
        <f>IFERROR(VLOOKUP(B30,'Parámetros'!A$1:B117,2, FALSE),"")</f>
        <v/>
      </c>
      <c r="D30" s="208" t="s">
        <v>41</v>
      </c>
      <c r="E30" s="258"/>
      <c r="F30" s="68">
        <f t="shared" si="1"/>
        <v>0</v>
      </c>
      <c r="G30" s="335">
        <f>F30/(AVERAGE('Parámetros'!$F$5:$F$6)+$F$32)</f>
        <v>0</v>
      </c>
      <c r="H30" s="336"/>
      <c r="I30" s="146"/>
      <c r="J30" s="146"/>
      <c r="K30" s="146"/>
    </row>
    <row r="31" ht="14.25" customHeight="1">
      <c r="A31" s="251">
        <f>IFERROR(__xludf.DUMMYFUNCTION("COUNTIF(SPLIT(B31,"" ""),""Developer"")"),0.0)</f>
        <v>0</v>
      </c>
      <c r="B31" s="304"/>
      <c r="C31" s="68" t="str">
        <f>iferror(VLOOKUP(B31,'Parámetros'!A$1:B127,2, FALSE),"")</f>
        <v/>
      </c>
      <c r="D31" s="208" t="s">
        <v>41</v>
      </c>
      <c r="E31" s="258"/>
      <c r="F31" s="68">
        <f t="shared" si="1"/>
        <v>0</v>
      </c>
      <c r="G31" s="335">
        <f>F31/(AVERAGE('Parámetros'!$F$5:$F$6)+$F$32)</f>
        <v>0</v>
      </c>
      <c r="H31" s="336"/>
      <c r="I31" s="146"/>
      <c r="J31" s="146"/>
      <c r="K31" s="146"/>
    </row>
    <row r="32" ht="14.25" customHeight="1">
      <c r="F32" s="259">
        <f t="shared" ref="F32:G32" si="2">SUM(F24:F31)</f>
        <v>0</v>
      </c>
      <c r="G32" s="337">
        <f t="shared" si="2"/>
        <v>0</v>
      </c>
      <c r="H32" s="338"/>
      <c r="M32" s="90"/>
      <c r="N32" s="91"/>
      <c r="O32" s="92"/>
      <c r="P32" s="93"/>
      <c r="Q32" s="94"/>
    </row>
    <row r="33" ht="14.25" customHeight="1">
      <c r="G33" s="55"/>
    </row>
    <row r="34" ht="14.25" customHeight="1">
      <c r="G34" s="55"/>
    </row>
    <row r="35" ht="14.25" customHeight="1">
      <c r="C35" s="261" t="s">
        <v>9</v>
      </c>
      <c r="D35" s="261" t="s">
        <v>45</v>
      </c>
      <c r="G35" s="55"/>
    </row>
    <row r="36" ht="14.25" customHeight="1">
      <c r="F36" s="97"/>
      <c r="G36" s="55"/>
    </row>
    <row r="37" ht="14.25" customHeight="1">
      <c r="B37" s="262" t="s">
        <v>31</v>
      </c>
      <c r="C37" s="261" t="s">
        <v>35</v>
      </c>
      <c r="D37" s="291" t="s">
        <v>48</v>
      </c>
      <c r="E37" s="292" t="s">
        <v>50</v>
      </c>
      <c r="F37" s="292" t="s">
        <v>159</v>
      </c>
      <c r="G37" s="55"/>
    </row>
    <row r="38" ht="14.25" customHeight="1">
      <c r="B38" s="264" t="str">
        <f t="shared" ref="B38:B44" si="3">B24</f>
        <v>Carolina Andrea Capote Alfonso</v>
      </c>
      <c r="C38" s="265">
        <f t="shared" ref="C38:C44" si="4">E24</f>
        <v>1</v>
      </c>
      <c r="D38" s="268">
        <f t="shared" ref="D38:D44" si="5">C38*180</f>
        <v>180</v>
      </c>
      <c r="E38" s="267">
        <f>IFERROR((IF($C$35="Gross Margin",F24/$F$32*$F$9,IF($C$35="Net Margin",F24/$F$32*$F$15,"Error")))/D38,"")/IF($D$35="USD",'Parámetros'!$L$3,1)</f>
        <v>0</v>
      </c>
      <c r="F38" s="267">
        <f t="shared" ref="F38:F44" si="6">E38*D38</f>
        <v>0</v>
      </c>
      <c r="G38" s="55"/>
    </row>
    <row r="39" ht="14.25" customHeight="1">
      <c r="B39" s="264" t="str">
        <f t="shared" si="3"/>
        <v/>
      </c>
      <c r="C39" s="265" t="str">
        <f t="shared" si="4"/>
        <v/>
      </c>
      <c r="D39" s="268">
        <f t="shared" si="5"/>
        <v>0</v>
      </c>
      <c r="E39" s="267">
        <f>IFERROR((IF($C$35="Gross Margin",F25/$F$32*$F$9,IF($C$35="Net Margin",F25/$F$32*$F$15,"Error")))/D39,"")/IF($D$35="USD",'Parámetros'!$L$3,1)</f>
        <v>0</v>
      </c>
      <c r="F39" s="267">
        <f t="shared" si="6"/>
        <v>0</v>
      </c>
      <c r="G39" s="55"/>
    </row>
    <row r="40" ht="14.25" customHeight="1">
      <c r="B40" s="264" t="str">
        <f t="shared" si="3"/>
        <v/>
      </c>
      <c r="C40" s="265" t="str">
        <f t="shared" si="4"/>
        <v/>
      </c>
      <c r="D40" s="268">
        <f t="shared" si="5"/>
        <v>0</v>
      </c>
      <c r="E40" s="267">
        <f>IFERROR((IF($C$35="Gross Margin",F26/$F$32*$F$9,IF($C$35="Net Margin",F26/$F$32*$F$15,"Error")))/D40,"")/IF($D$35="USD",'Parámetros'!$L$3,1)</f>
        <v>0</v>
      </c>
      <c r="F40" s="267">
        <f t="shared" si="6"/>
        <v>0</v>
      </c>
      <c r="G40" s="23"/>
    </row>
    <row r="41" ht="14.25" customHeight="1">
      <c r="B41" s="264" t="str">
        <f t="shared" si="3"/>
        <v/>
      </c>
      <c r="C41" s="265" t="str">
        <f t="shared" si="4"/>
        <v/>
      </c>
      <c r="D41" s="268">
        <f t="shared" si="5"/>
        <v>0</v>
      </c>
      <c r="E41" s="267">
        <f>IFERROR((IF($C$35="Gross Margin",F27/$F$32*$F$9,IF($C$35="Net Margin",F27/$F$32*$F$15,"Error")))/D41,"")/IF($D$35="USD",'Parámetros'!$L$3,1)</f>
        <v>0</v>
      </c>
      <c r="F41" s="267">
        <f t="shared" si="6"/>
        <v>0</v>
      </c>
      <c r="G41" s="23"/>
    </row>
    <row r="42" ht="14.25" customHeight="1">
      <c r="B42" s="264" t="str">
        <f t="shared" si="3"/>
        <v/>
      </c>
      <c r="C42" s="265" t="str">
        <f t="shared" si="4"/>
        <v/>
      </c>
      <c r="D42" s="268">
        <f t="shared" si="5"/>
        <v>0</v>
      </c>
      <c r="E42" s="267">
        <f>IFERROR((IF($C$35="Gross Margin",F28/$F$32*$F$9,IF($C$35="Net Margin",F28/$F$32*$F$15,"Error")))/D42,"")/IF($D$35="USD",'Parámetros'!$L$3,1)</f>
        <v>0</v>
      </c>
      <c r="F42" s="267">
        <f t="shared" si="6"/>
        <v>0</v>
      </c>
      <c r="G42" s="55"/>
    </row>
    <row r="43" ht="14.25" customHeight="1">
      <c r="B43" s="264" t="str">
        <f t="shared" si="3"/>
        <v/>
      </c>
      <c r="C43" s="265" t="str">
        <f t="shared" si="4"/>
        <v/>
      </c>
      <c r="D43" s="268">
        <f t="shared" si="5"/>
        <v>0</v>
      </c>
      <c r="E43" s="267">
        <f>IFERROR((IF($C$35="Gross Margin",F29/$F$32*$F$9,IF($C$35="Net Margin",F29/$F$32*$F$15,"Error")))/D43,"")/IF($D$35="USD",'Parámetros'!$L$3,1)</f>
        <v>0</v>
      </c>
      <c r="F43" s="267">
        <f t="shared" si="6"/>
        <v>0</v>
      </c>
      <c r="G43" s="55"/>
    </row>
    <row r="44" ht="14.25" customHeight="1">
      <c r="B44" s="264" t="str">
        <f t="shared" si="3"/>
        <v/>
      </c>
      <c r="C44" s="265" t="str">
        <f t="shared" si="4"/>
        <v/>
      </c>
      <c r="D44" s="268">
        <f t="shared" si="5"/>
        <v>0</v>
      </c>
      <c r="E44" s="267">
        <f>IFERROR((IF($C$35="Gross Margin",F30/$F$32*$F$9,IF($C$35="Net Margin",F30/$F$32*$F$15,"Error")))/D44,"")/IF($D$35="USD",'Parámetros'!$L$3,1)</f>
        <v>0</v>
      </c>
      <c r="F44" s="267">
        <f t="shared" si="6"/>
        <v>0</v>
      </c>
      <c r="G44" s="55"/>
    </row>
    <row r="45" ht="14.25" customHeight="1">
      <c r="G45" s="55"/>
    </row>
    <row r="46" ht="14.25" customHeight="1">
      <c r="G46" s="55"/>
    </row>
    <row r="47" ht="14.25" customHeight="1">
      <c r="G47" s="55"/>
    </row>
    <row r="48" ht="14.25" customHeight="1">
      <c r="B48" s="339" t="s">
        <v>11</v>
      </c>
      <c r="C48" s="340"/>
      <c r="D48" s="341"/>
      <c r="G48" s="55"/>
    </row>
    <row r="49" ht="14.25" customHeight="1" outlineLevel="1">
      <c r="A49" s="33"/>
      <c r="B49" s="342" t="s">
        <v>14</v>
      </c>
      <c r="C49" s="343">
        <f>F32</f>
        <v>0</v>
      </c>
      <c r="D49" s="287"/>
      <c r="E49" s="33"/>
      <c r="F49" s="33"/>
      <c r="G49" s="37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</row>
    <row r="50" ht="14.25" customHeight="1" outlineLevel="1">
      <c r="A50" s="33"/>
      <c r="B50" s="344" t="s">
        <v>17</v>
      </c>
      <c r="C50" s="345">
        <f>C52+C53+C51</f>
        <v>683700</v>
      </c>
      <c r="D50" s="287"/>
      <c r="E50" s="33"/>
      <c r="F50" s="33"/>
      <c r="G50" s="37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</row>
    <row r="51" ht="14.25" customHeight="1" outlineLevel="1">
      <c r="B51" s="346" t="s">
        <v>19</v>
      </c>
      <c r="C51" s="347">
        <f>IF(((C53+C49)/(1-G5-'Parámetros'!L8*C5))&gt;='Parámetros'!C148,'Parámetros'!B132*SUM(E24:E32),'Parámetros'!C132*SUM(E24:E32)*C7)</f>
        <v>683700</v>
      </c>
      <c r="D51" s="146"/>
      <c r="G51" s="55"/>
    </row>
    <row r="52" ht="14.25" customHeight="1" outlineLevel="1">
      <c r="B52" s="348" t="s">
        <v>20</v>
      </c>
      <c r="C52" s="349">
        <f>G32*AVERAGE('Parámetros'!G5:G7)*IF(C2="Network",15%,100%)*IF(C2="Enterprise",40%,100%)</f>
        <v>0</v>
      </c>
      <c r="D52" s="350"/>
      <c r="G52" s="55"/>
    </row>
    <row r="53" ht="14.25" customHeight="1" outlineLevel="1">
      <c r="B53" s="346" t="s">
        <v>21</v>
      </c>
      <c r="C53" s="347">
        <f>G32*AVERAGE('Parámetros'!H5:H7)*IF(C2="Network",15%,100%)</f>
        <v>0</v>
      </c>
      <c r="D53" s="350"/>
      <c r="G53" s="55"/>
    </row>
    <row r="54" ht="14.25" customHeight="1">
      <c r="B54" s="351" t="s">
        <v>23</v>
      </c>
      <c r="C54" s="345">
        <f>C49+C50</f>
        <v>683700</v>
      </c>
      <c r="D54" s="287"/>
      <c r="G54" s="55"/>
    </row>
    <row r="55" ht="14.25" customHeight="1">
      <c r="D55" s="146"/>
      <c r="G55" s="55"/>
    </row>
    <row r="56">
      <c r="D56" s="146"/>
      <c r="G56" s="55"/>
    </row>
    <row r="57" ht="14.25" customHeight="1">
      <c r="G57" s="55"/>
    </row>
    <row r="58" ht="14.25" customHeight="1">
      <c r="G58" s="55"/>
    </row>
    <row r="59" ht="14.25" customHeight="1">
      <c r="G59" s="55"/>
    </row>
    <row r="60" ht="14.25" customHeight="1">
      <c r="G60" s="55"/>
    </row>
    <row r="61" ht="14.25" customHeight="1">
      <c r="G61" s="55"/>
    </row>
    <row r="62" ht="14.25" customHeight="1">
      <c r="G62" s="55"/>
    </row>
    <row r="63" ht="14.25" customHeight="1">
      <c r="G63" s="55"/>
    </row>
    <row r="64" ht="14.25" customHeight="1">
      <c r="G64" s="55"/>
    </row>
    <row r="65" ht="14.25" customHeight="1">
      <c r="G65" s="55"/>
    </row>
    <row r="66" ht="14.25" customHeight="1">
      <c r="G66" s="55"/>
    </row>
    <row r="67" ht="14.25" customHeight="1">
      <c r="G67" s="55"/>
    </row>
    <row r="68" ht="14.25" customHeight="1">
      <c r="G68" s="55"/>
    </row>
    <row r="69" ht="14.25" customHeight="1">
      <c r="G69" s="55"/>
    </row>
    <row r="70" ht="14.25" customHeight="1">
      <c r="G70" s="55"/>
    </row>
    <row r="71" ht="14.25" customHeight="1">
      <c r="G71" s="55"/>
    </row>
    <row r="72" ht="14.25" customHeight="1">
      <c r="G72" s="55"/>
    </row>
    <row r="73" ht="14.25" customHeight="1">
      <c r="G73" s="55"/>
    </row>
    <row r="74" ht="14.25" customHeight="1">
      <c r="G74" s="55"/>
    </row>
    <row r="75" ht="14.25" customHeight="1">
      <c r="G75" s="55"/>
    </row>
    <row r="76" ht="14.25" customHeight="1">
      <c r="G76" s="55"/>
    </row>
    <row r="77" ht="14.25" customHeight="1">
      <c r="G77" s="55"/>
    </row>
    <row r="78" ht="14.25" customHeight="1">
      <c r="G78" s="55"/>
    </row>
    <row r="79" ht="14.25" customHeight="1">
      <c r="G79" s="55"/>
    </row>
    <row r="80" ht="14.25" customHeight="1">
      <c r="G80" s="55"/>
    </row>
    <row r="81" ht="14.25" customHeight="1">
      <c r="G81" s="55"/>
    </row>
    <row r="82" ht="14.25" customHeight="1">
      <c r="G82" s="55"/>
    </row>
    <row r="83" ht="14.25" customHeight="1">
      <c r="G83" s="55"/>
    </row>
    <row r="84" ht="14.25" customHeight="1">
      <c r="G84" s="55"/>
    </row>
    <row r="85" ht="14.25" customHeight="1">
      <c r="G85" s="55"/>
    </row>
    <row r="86" ht="14.25" customHeight="1">
      <c r="G86" s="55"/>
    </row>
    <row r="87" ht="14.25" customHeight="1">
      <c r="G87" s="55"/>
    </row>
    <row r="88" ht="14.25" customHeight="1">
      <c r="G88" s="55"/>
    </row>
    <row r="89" ht="14.25" customHeight="1">
      <c r="G89" s="55"/>
    </row>
    <row r="90" ht="14.25" customHeight="1">
      <c r="G90" s="55"/>
    </row>
    <row r="91" ht="14.25" customHeight="1">
      <c r="G91" s="55"/>
    </row>
    <row r="92" ht="14.25" customHeight="1">
      <c r="G92" s="55"/>
    </row>
    <row r="93" ht="14.25" customHeight="1">
      <c r="G93" s="55"/>
    </row>
    <row r="94" ht="14.25" customHeight="1">
      <c r="G94" s="55"/>
    </row>
    <row r="95" ht="14.25" customHeight="1">
      <c r="G95" s="55"/>
    </row>
    <row r="96" ht="14.25" customHeight="1">
      <c r="G96" s="55"/>
    </row>
    <row r="97" ht="14.25" customHeight="1">
      <c r="G97" s="55"/>
    </row>
    <row r="98" ht="14.25" customHeight="1">
      <c r="G98" s="55"/>
    </row>
    <row r="99" ht="14.25" customHeight="1">
      <c r="G99" s="55"/>
    </row>
    <row r="100" ht="14.25" customHeight="1">
      <c r="G100" s="55"/>
    </row>
    <row r="101" ht="14.25" customHeight="1">
      <c r="G101" s="55"/>
    </row>
    <row r="102" ht="14.25" customHeight="1">
      <c r="G102" s="55"/>
    </row>
    <row r="103" ht="14.25" customHeight="1">
      <c r="G103" s="55"/>
    </row>
    <row r="104" ht="14.25" customHeight="1">
      <c r="G104" s="55"/>
    </row>
    <row r="105" ht="14.25" customHeight="1">
      <c r="G105" s="55"/>
    </row>
    <row r="106" ht="14.25" customHeight="1">
      <c r="G106" s="55"/>
    </row>
    <row r="107" ht="14.25" customHeight="1">
      <c r="G107" s="55"/>
    </row>
    <row r="108" ht="14.25" customHeight="1">
      <c r="G108" s="55"/>
    </row>
    <row r="109" ht="14.25" customHeight="1">
      <c r="G109" s="55"/>
    </row>
    <row r="110" ht="14.25" customHeight="1">
      <c r="G110" s="55"/>
    </row>
    <row r="111" ht="14.25" customHeight="1">
      <c r="G111" s="55"/>
    </row>
    <row r="112" ht="14.25" customHeight="1">
      <c r="G112" s="55"/>
    </row>
    <row r="113" ht="14.25" customHeight="1">
      <c r="G113" s="55"/>
    </row>
    <row r="114" ht="14.25" customHeight="1">
      <c r="G114" s="55"/>
    </row>
    <row r="115" ht="14.25" customHeight="1">
      <c r="G115" s="55"/>
    </row>
    <row r="116" ht="14.25" customHeight="1">
      <c r="G116" s="55"/>
    </row>
    <row r="117" ht="14.25" customHeight="1">
      <c r="G117" s="55"/>
    </row>
    <row r="118" ht="14.25" customHeight="1">
      <c r="G118" s="55"/>
    </row>
    <row r="119" ht="14.25" customHeight="1">
      <c r="G119" s="55"/>
    </row>
    <row r="120" ht="14.25" customHeight="1">
      <c r="G120" s="55"/>
    </row>
    <row r="121" ht="14.25" customHeight="1">
      <c r="G121" s="55"/>
    </row>
    <row r="122" ht="14.25" customHeight="1">
      <c r="G122" s="55"/>
    </row>
    <row r="123" ht="14.25" customHeight="1">
      <c r="G123" s="55"/>
    </row>
    <row r="124" ht="14.25" customHeight="1">
      <c r="G124" s="55"/>
    </row>
    <row r="125" ht="14.25" customHeight="1">
      <c r="G125" s="55"/>
    </row>
    <row r="126" ht="14.25" customHeight="1">
      <c r="G126" s="55"/>
    </row>
    <row r="127" ht="14.25" customHeight="1">
      <c r="G127" s="55"/>
    </row>
    <row r="128" ht="14.25" customHeight="1">
      <c r="G128" s="55"/>
    </row>
    <row r="129" ht="14.25" customHeight="1">
      <c r="G129" s="55"/>
    </row>
    <row r="130" ht="14.25" customHeight="1">
      <c r="G130" s="55"/>
    </row>
    <row r="131" ht="14.25" customHeight="1">
      <c r="G131" s="55"/>
    </row>
    <row r="132" ht="14.25" customHeight="1">
      <c r="G132" s="55"/>
    </row>
    <row r="133" ht="14.25" customHeight="1">
      <c r="G133" s="55"/>
    </row>
    <row r="134" ht="14.25" customHeight="1">
      <c r="G134" s="55"/>
    </row>
    <row r="135" ht="14.25" customHeight="1">
      <c r="G135" s="55"/>
    </row>
    <row r="136" ht="14.25" customHeight="1">
      <c r="G136" s="55"/>
    </row>
    <row r="137" ht="14.25" customHeight="1">
      <c r="G137" s="55"/>
    </row>
    <row r="138" ht="14.25" customHeight="1">
      <c r="G138" s="55"/>
    </row>
    <row r="139" ht="14.25" customHeight="1">
      <c r="G139" s="55"/>
    </row>
    <row r="140" ht="14.25" customHeight="1">
      <c r="G140" s="55"/>
    </row>
    <row r="141" ht="14.25" customHeight="1">
      <c r="G141" s="55"/>
    </row>
    <row r="142" ht="14.25" customHeight="1">
      <c r="G142" s="55"/>
    </row>
    <row r="143" ht="14.25" customHeight="1">
      <c r="G143" s="55"/>
    </row>
    <row r="144" ht="14.25" customHeight="1">
      <c r="G144" s="55"/>
    </row>
    <row r="145" ht="14.25" customHeight="1">
      <c r="G145" s="55"/>
    </row>
    <row r="146" ht="14.25" customHeight="1">
      <c r="G146" s="55"/>
    </row>
    <row r="147" ht="14.25" customHeight="1">
      <c r="G147" s="55"/>
    </row>
    <row r="148" ht="14.25" customHeight="1">
      <c r="G148" s="55"/>
    </row>
    <row r="149" ht="14.25" customHeight="1">
      <c r="G149" s="55"/>
    </row>
    <row r="150" ht="14.25" customHeight="1">
      <c r="G150" s="55"/>
    </row>
    <row r="151" ht="14.25" customHeight="1">
      <c r="G151" s="55"/>
    </row>
    <row r="152" ht="14.25" customHeight="1">
      <c r="G152" s="55"/>
    </row>
    <row r="153" ht="14.25" customHeight="1">
      <c r="G153" s="55"/>
    </row>
    <row r="154" ht="14.25" customHeight="1">
      <c r="G154" s="55"/>
    </row>
    <row r="155" ht="14.25" customHeight="1">
      <c r="G155" s="55"/>
    </row>
    <row r="156" ht="14.25" customHeight="1">
      <c r="G156" s="55"/>
    </row>
    <row r="157" ht="14.25" customHeight="1">
      <c r="G157" s="55"/>
    </row>
    <row r="158" ht="14.25" customHeight="1">
      <c r="G158" s="55"/>
    </row>
    <row r="159" ht="14.25" customHeight="1">
      <c r="G159" s="55"/>
    </row>
    <row r="160" ht="14.25" customHeight="1">
      <c r="G160" s="55"/>
    </row>
    <row r="161" ht="14.25" customHeight="1">
      <c r="G161" s="55"/>
    </row>
    <row r="162" ht="14.25" customHeight="1">
      <c r="G162" s="55"/>
    </row>
    <row r="163" ht="14.25" customHeight="1">
      <c r="G163" s="55"/>
    </row>
    <row r="164" ht="14.25" customHeight="1">
      <c r="G164" s="55"/>
    </row>
    <row r="165" ht="14.25" customHeight="1">
      <c r="G165" s="55"/>
    </row>
    <row r="166" ht="14.25" customHeight="1">
      <c r="G166" s="55"/>
    </row>
    <row r="167" ht="14.25" customHeight="1">
      <c r="G167" s="55"/>
    </row>
    <row r="168" ht="14.25" customHeight="1">
      <c r="G168" s="55"/>
    </row>
    <row r="169" ht="14.25" customHeight="1">
      <c r="G169" s="55"/>
    </row>
    <row r="170" ht="14.25" customHeight="1">
      <c r="G170" s="55"/>
    </row>
    <row r="171" ht="14.25" customHeight="1">
      <c r="G171" s="55"/>
    </row>
    <row r="172" ht="14.25" customHeight="1">
      <c r="G172" s="55"/>
    </row>
    <row r="173" ht="14.25" customHeight="1">
      <c r="G173" s="55"/>
    </row>
    <row r="174" ht="14.25" customHeight="1">
      <c r="G174" s="55"/>
    </row>
    <row r="175" ht="14.25" customHeight="1">
      <c r="G175" s="55"/>
    </row>
    <row r="176" ht="14.25" customHeight="1">
      <c r="G176" s="55"/>
    </row>
    <row r="177" ht="14.25" customHeight="1">
      <c r="G177" s="55"/>
    </row>
    <row r="178" ht="14.25" customHeight="1">
      <c r="G178" s="55"/>
    </row>
    <row r="179" ht="14.25" customHeight="1">
      <c r="G179" s="55"/>
    </row>
    <row r="180" ht="14.25" customHeight="1">
      <c r="G180" s="55"/>
    </row>
    <row r="181" ht="14.25" customHeight="1">
      <c r="G181" s="55"/>
    </row>
    <row r="182" ht="14.25" customHeight="1">
      <c r="G182" s="55"/>
    </row>
    <row r="183" ht="14.25" customHeight="1">
      <c r="G183" s="55"/>
    </row>
    <row r="184" ht="14.25" customHeight="1">
      <c r="G184" s="55"/>
    </row>
    <row r="185" ht="14.25" customHeight="1">
      <c r="G185" s="55"/>
    </row>
    <row r="186" ht="14.25" customHeight="1">
      <c r="G186" s="55"/>
    </row>
    <row r="187" ht="14.25" customHeight="1">
      <c r="G187" s="55"/>
    </row>
    <row r="188" ht="14.25" customHeight="1">
      <c r="G188" s="55"/>
    </row>
    <row r="189" ht="14.25" customHeight="1">
      <c r="G189" s="55"/>
    </row>
    <row r="190" ht="14.25" customHeight="1">
      <c r="G190" s="55"/>
    </row>
    <row r="191" ht="14.25" customHeight="1">
      <c r="G191" s="55"/>
    </row>
    <row r="192" ht="14.25" customHeight="1">
      <c r="G192" s="55"/>
    </row>
    <row r="193" ht="14.25" customHeight="1">
      <c r="G193" s="55"/>
    </row>
    <row r="194" ht="14.25" customHeight="1">
      <c r="G194" s="55"/>
    </row>
    <row r="195" ht="14.25" customHeight="1">
      <c r="G195" s="55"/>
    </row>
    <row r="196" ht="14.25" customHeight="1">
      <c r="G196" s="55"/>
    </row>
    <row r="197" ht="14.25" customHeight="1">
      <c r="G197" s="55"/>
    </row>
    <row r="198" ht="14.25" customHeight="1">
      <c r="G198" s="55"/>
    </row>
    <row r="199" ht="14.25" customHeight="1">
      <c r="G199" s="55"/>
    </row>
    <row r="200" ht="14.25" customHeight="1">
      <c r="G200" s="55"/>
    </row>
    <row r="201" ht="14.25" customHeight="1">
      <c r="G201" s="55"/>
    </row>
    <row r="202" ht="14.25" customHeight="1">
      <c r="G202" s="55"/>
    </row>
    <row r="203" ht="14.25" customHeight="1">
      <c r="G203" s="55"/>
    </row>
    <row r="204" ht="14.25" customHeight="1">
      <c r="G204" s="55"/>
    </row>
    <row r="205" ht="14.25" customHeight="1">
      <c r="G205" s="55"/>
    </row>
    <row r="206" ht="14.25" customHeight="1">
      <c r="G206" s="55"/>
    </row>
    <row r="207" ht="14.25" customHeight="1">
      <c r="G207" s="55"/>
    </row>
    <row r="208" ht="14.25" customHeight="1">
      <c r="G208" s="55"/>
    </row>
    <row r="209" ht="14.25" customHeight="1">
      <c r="G209" s="55"/>
    </row>
    <row r="210" ht="14.25" customHeight="1">
      <c r="G210" s="55"/>
    </row>
    <row r="211" ht="14.25" customHeight="1">
      <c r="G211" s="55"/>
    </row>
    <row r="212" ht="14.25" customHeight="1">
      <c r="G212" s="55"/>
    </row>
    <row r="213" ht="14.25" customHeight="1">
      <c r="G213" s="55"/>
    </row>
    <row r="214" ht="14.25" customHeight="1">
      <c r="G214" s="55"/>
    </row>
    <row r="215" ht="14.25" customHeight="1">
      <c r="G215" s="55"/>
    </row>
    <row r="216" ht="14.25" customHeight="1">
      <c r="G216" s="55"/>
    </row>
    <row r="217" ht="14.25" customHeight="1">
      <c r="G217" s="55"/>
    </row>
    <row r="218" ht="14.25" customHeight="1">
      <c r="G218" s="55"/>
    </row>
    <row r="219" ht="14.25" customHeight="1">
      <c r="G219" s="55"/>
    </row>
    <row r="220" ht="14.25" customHeight="1">
      <c r="G220" s="55"/>
    </row>
    <row r="221" ht="14.25" customHeight="1">
      <c r="G221" s="55"/>
    </row>
    <row r="222" ht="14.25" customHeight="1">
      <c r="G222" s="55"/>
    </row>
    <row r="223" ht="14.25" customHeight="1">
      <c r="G223" s="55"/>
    </row>
    <row r="224" ht="14.25" customHeight="1">
      <c r="G224" s="55"/>
    </row>
    <row r="225" ht="14.25" customHeight="1">
      <c r="G225" s="55"/>
    </row>
    <row r="226" ht="14.25" customHeight="1">
      <c r="G226" s="55"/>
    </row>
    <row r="227" ht="14.25" customHeight="1">
      <c r="G227" s="55"/>
    </row>
    <row r="228" ht="14.25" customHeight="1">
      <c r="G228" s="55"/>
    </row>
    <row r="229" ht="14.25" customHeight="1">
      <c r="G229" s="55"/>
    </row>
    <row r="230" ht="14.25" customHeight="1">
      <c r="G230" s="55"/>
    </row>
    <row r="231" ht="14.25" customHeight="1">
      <c r="G231" s="55"/>
    </row>
    <row r="232" ht="14.25" customHeight="1">
      <c r="G232" s="55"/>
    </row>
    <row r="233" ht="14.25" customHeight="1">
      <c r="G233" s="55"/>
    </row>
    <row r="234" ht="14.25" customHeight="1">
      <c r="G234" s="55"/>
    </row>
    <row r="235" ht="14.25" customHeight="1">
      <c r="G235" s="55"/>
    </row>
    <row r="236" ht="14.25" customHeight="1">
      <c r="G236" s="55"/>
    </row>
    <row r="237" ht="14.25" customHeight="1">
      <c r="G237" s="55"/>
    </row>
    <row r="238" ht="14.25" customHeight="1">
      <c r="G238" s="55"/>
    </row>
    <row r="239" ht="14.25" customHeight="1">
      <c r="G239" s="55"/>
    </row>
    <row r="240" ht="14.25" customHeight="1">
      <c r="G240" s="55"/>
    </row>
    <row r="241" ht="14.25" customHeight="1">
      <c r="G241" s="55"/>
    </row>
    <row r="242" ht="14.25" customHeight="1">
      <c r="G242" s="55"/>
    </row>
    <row r="243" ht="14.25" customHeight="1">
      <c r="G243" s="55"/>
    </row>
    <row r="244" ht="14.25" customHeight="1">
      <c r="G244" s="55"/>
    </row>
    <row r="245" ht="14.25" customHeight="1">
      <c r="G245" s="55"/>
    </row>
    <row r="246" ht="14.25" customHeight="1">
      <c r="G246" s="55"/>
    </row>
    <row r="247" ht="14.25" customHeight="1">
      <c r="G247" s="55"/>
    </row>
    <row r="248" ht="14.25" customHeight="1">
      <c r="G248" s="55"/>
    </row>
    <row r="249" ht="14.25" customHeight="1">
      <c r="G249" s="55"/>
    </row>
    <row r="250" ht="14.25" customHeight="1">
      <c r="G250" s="55"/>
    </row>
    <row r="251" ht="14.25" customHeight="1">
      <c r="G251" s="55"/>
    </row>
    <row r="252" ht="14.25" customHeight="1">
      <c r="G252" s="55"/>
    </row>
    <row r="253" ht="14.25" customHeight="1">
      <c r="G253" s="55"/>
    </row>
    <row r="254" ht="14.25" customHeight="1">
      <c r="G254" s="55"/>
    </row>
    <row r="255" ht="14.25" customHeight="1">
      <c r="G255" s="55"/>
    </row>
    <row r="256" ht="14.25" customHeight="1">
      <c r="G256" s="55"/>
    </row>
    <row r="257" ht="14.25" customHeight="1">
      <c r="G257" s="55"/>
    </row>
    <row r="258" ht="14.25" customHeight="1">
      <c r="G258" s="55"/>
    </row>
    <row r="259" ht="14.25" customHeight="1">
      <c r="G259" s="55"/>
    </row>
    <row r="260" ht="14.25" customHeight="1">
      <c r="G260" s="55"/>
    </row>
    <row r="261" ht="14.25" customHeight="1">
      <c r="G261" s="55"/>
    </row>
    <row r="262" ht="14.25" customHeight="1">
      <c r="G262" s="55"/>
    </row>
    <row r="263" ht="14.25" customHeight="1">
      <c r="G263" s="55"/>
    </row>
    <row r="264" ht="14.25" customHeight="1">
      <c r="G264" s="55"/>
    </row>
    <row r="265" ht="14.25" customHeight="1">
      <c r="G265" s="55"/>
    </row>
    <row r="266" ht="14.25" customHeight="1">
      <c r="G266" s="55"/>
    </row>
    <row r="267" ht="14.25" customHeight="1">
      <c r="G267" s="55"/>
    </row>
    <row r="268" ht="14.25" customHeight="1">
      <c r="G268" s="55"/>
    </row>
    <row r="269" ht="14.25" customHeight="1">
      <c r="G269" s="55"/>
    </row>
    <row r="270" ht="14.25" customHeight="1">
      <c r="G270" s="55"/>
    </row>
    <row r="271" ht="14.25" customHeight="1">
      <c r="G271" s="55"/>
    </row>
    <row r="272" ht="14.25" customHeight="1">
      <c r="G272" s="55"/>
    </row>
    <row r="273" ht="14.25" customHeight="1">
      <c r="G273" s="55"/>
    </row>
    <row r="274" ht="14.25" customHeight="1">
      <c r="G274" s="55"/>
    </row>
    <row r="275" ht="14.25" customHeight="1">
      <c r="G275" s="55"/>
    </row>
    <row r="276" ht="14.25" customHeight="1">
      <c r="G276" s="55"/>
    </row>
    <row r="277" ht="14.25" customHeight="1">
      <c r="G277" s="55"/>
    </row>
    <row r="278" ht="14.25" customHeight="1">
      <c r="G278" s="55"/>
    </row>
    <row r="279" ht="14.25" customHeight="1">
      <c r="G279" s="55"/>
    </row>
    <row r="280" ht="14.25" customHeight="1">
      <c r="G280" s="55"/>
    </row>
    <row r="281" ht="14.25" customHeight="1">
      <c r="G281" s="55"/>
    </row>
    <row r="282" ht="14.25" customHeight="1">
      <c r="G282" s="55"/>
    </row>
    <row r="283" ht="14.25" customHeight="1">
      <c r="G283" s="55"/>
    </row>
    <row r="284" ht="14.25" customHeight="1">
      <c r="G284" s="55"/>
    </row>
    <row r="285" ht="14.25" customHeight="1">
      <c r="G285" s="55"/>
    </row>
    <row r="286" ht="14.25" customHeight="1">
      <c r="G286" s="55"/>
    </row>
    <row r="287" ht="14.25" customHeight="1">
      <c r="G287" s="55"/>
    </row>
    <row r="288" ht="14.25" customHeight="1">
      <c r="G288" s="55"/>
    </row>
    <row r="289" ht="14.25" customHeight="1">
      <c r="G289" s="55"/>
    </row>
    <row r="290" ht="14.25" customHeight="1">
      <c r="G290" s="55"/>
    </row>
    <row r="291" ht="14.25" customHeight="1">
      <c r="G291" s="55"/>
    </row>
    <row r="292" ht="14.25" customHeight="1">
      <c r="G292" s="55"/>
    </row>
    <row r="293" ht="14.25" customHeight="1">
      <c r="G293" s="55"/>
    </row>
    <row r="294" ht="14.25" customHeight="1">
      <c r="G294" s="55"/>
    </row>
    <row r="295" ht="14.25" customHeight="1">
      <c r="G295" s="55"/>
    </row>
    <row r="296" ht="14.25" customHeight="1">
      <c r="G296" s="55"/>
    </row>
    <row r="297" ht="14.25" customHeight="1">
      <c r="G297" s="55"/>
    </row>
    <row r="298" ht="14.25" customHeight="1">
      <c r="G298" s="55"/>
    </row>
    <row r="299" ht="14.25" customHeight="1">
      <c r="G299" s="55"/>
    </row>
    <row r="300" ht="14.25" customHeight="1">
      <c r="G300" s="55"/>
    </row>
    <row r="301" ht="14.25" customHeight="1">
      <c r="G301" s="55"/>
    </row>
    <row r="302" ht="14.25" customHeight="1">
      <c r="G302" s="55"/>
    </row>
    <row r="303" ht="14.25" customHeight="1">
      <c r="G303" s="55"/>
    </row>
    <row r="304" ht="14.25" customHeight="1">
      <c r="G304" s="55"/>
    </row>
    <row r="305" ht="14.25" customHeight="1">
      <c r="G305" s="55"/>
    </row>
    <row r="306" ht="14.25" customHeight="1">
      <c r="G306" s="55"/>
    </row>
    <row r="307" ht="14.25" customHeight="1">
      <c r="G307" s="55"/>
    </row>
    <row r="308" ht="14.25" customHeight="1">
      <c r="G308" s="55"/>
    </row>
    <row r="309" ht="14.25" customHeight="1">
      <c r="G309" s="55"/>
    </row>
    <row r="310" ht="14.25" customHeight="1">
      <c r="G310" s="55"/>
    </row>
    <row r="311" ht="14.25" customHeight="1">
      <c r="G311" s="55"/>
    </row>
    <row r="312" ht="14.25" customHeight="1">
      <c r="G312" s="55"/>
    </row>
    <row r="313" ht="14.25" customHeight="1">
      <c r="G313" s="55"/>
    </row>
    <row r="314" ht="14.25" customHeight="1">
      <c r="G314" s="55"/>
    </row>
    <row r="315" ht="14.25" customHeight="1">
      <c r="G315" s="55"/>
    </row>
    <row r="316" ht="14.25" customHeight="1">
      <c r="G316" s="55"/>
    </row>
    <row r="317" ht="14.25" customHeight="1">
      <c r="G317" s="55"/>
    </row>
    <row r="318" ht="14.25" customHeight="1">
      <c r="G318" s="55"/>
    </row>
    <row r="319" ht="14.25" customHeight="1">
      <c r="G319" s="55"/>
    </row>
    <row r="320" ht="14.25" customHeight="1">
      <c r="G320" s="55"/>
    </row>
    <row r="321" ht="14.25" customHeight="1">
      <c r="G321" s="55"/>
    </row>
    <row r="322" ht="14.25" customHeight="1">
      <c r="G322" s="55"/>
    </row>
    <row r="323" ht="14.25" customHeight="1">
      <c r="G323" s="55"/>
    </row>
    <row r="324" ht="14.25" customHeight="1">
      <c r="G324" s="55"/>
    </row>
    <row r="325" ht="14.25" customHeight="1">
      <c r="G325" s="55"/>
    </row>
    <row r="326" ht="14.25" customHeight="1">
      <c r="G326" s="55"/>
    </row>
    <row r="327" ht="14.25" customHeight="1">
      <c r="G327" s="55"/>
    </row>
    <row r="328" ht="14.25" customHeight="1">
      <c r="G328" s="55"/>
    </row>
    <row r="329" ht="14.25" customHeight="1">
      <c r="G329" s="55"/>
    </row>
    <row r="330" ht="14.25" customHeight="1">
      <c r="G330" s="55"/>
    </row>
    <row r="331" ht="14.25" customHeight="1">
      <c r="G331" s="55"/>
    </row>
    <row r="332" ht="14.25" customHeight="1">
      <c r="G332" s="55"/>
    </row>
    <row r="333" ht="14.25" customHeight="1">
      <c r="G333" s="55"/>
    </row>
    <row r="334" ht="14.25" customHeight="1">
      <c r="G334" s="55"/>
    </row>
    <row r="335" ht="14.25" customHeight="1">
      <c r="G335" s="55"/>
    </row>
    <row r="336" ht="14.25" customHeight="1">
      <c r="G336" s="55"/>
    </row>
    <row r="337" ht="14.25" customHeight="1">
      <c r="G337" s="55"/>
    </row>
    <row r="338" ht="14.25" customHeight="1">
      <c r="G338" s="55"/>
    </row>
    <row r="339" ht="14.25" customHeight="1">
      <c r="G339" s="55"/>
    </row>
    <row r="340" ht="14.25" customHeight="1">
      <c r="G340" s="55"/>
    </row>
    <row r="341" ht="14.25" customHeight="1">
      <c r="G341" s="55"/>
    </row>
    <row r="342" ht="14.25" customHeight="1">
      <c r="G342" s="55"/>
    </row>
    <row r="343" ht="14.25" customHeight="1">
      <c r="G343" s="55"/>
    </row>
    <row r="344" ht="14.25" customHeight="1">
      <c r="G344" s="55"/>
    </row>
    <row r="345" ht="14.25" customHeight="1">
      <c r="G345" s="55"/>
    </row>
    <row r="346" ht="14.25" customHeight="1">
      <c r="G346" s="55"/>
    </row>
    <row r="347" ht="14.25" customHeight="1">
      <c r="G347" s="55"/>
    </row>
    <row r="348" ht="14.25" customHeight="1">
      <c r="G348" s="55"/>
    </row>
    <row r="349" ht="14.25" customHeight="1">
      <c r="G349" s="55"/>
    </row>
    <row r="350" ht="14.25" customHeight="1">
      <c r="G350" s="55"/>
    </row>
    <row r="351" ht="14.25" customHeight="1">
      <c r="G351" s="55"/>
    </row>
    <row r="352" ht="14.25" customHeight="1">
      <c r="G352" s="55"/>
    </row>
    <row r="353" ht="14.25" customHeight="1">
      <c r="G353" s="55"/>
    </row>
    <row r="354" ht="14.25" customHeight="1">
      <c r="G354" s="55"/>
    </row>
    <row r="355" ht="14.25" customHeight="1">
      <c r="G355" s="55"/>
    </row>
    <row r="356" ht="14.25" customHeight="1">
      <c r="G356" s="55"/>
    </row>
    <row r="357" ht="14.25" customHeight="1">
      <c r="G357" s="55"/>
    </row>
    <row r="358" ht="14.25" customHeight="1">
      <c r="G358" s="55"/>
    </row>
    <row r="359" ht="14.25" customHeight="1">
      <c r="G359" s="55"/>
    </row>
    <row r="360" ht="14.25" customHeight="1">
      <c r="G360" s="55"/>
    </row>
    <row r="361" ht="14.25" customHeight="1">
      <c r="G361" s="55"/>
    </row>
    <row r="362" ht="14.25" customHeight="1">
      <c r="G362" s="55"/>
    </row>
    <row r="363" ht="14.25" customHeight="1">
      <c r="G363" s="55"/>
    </row>
    <row r="364" ht="14.25" customHeight="1">
      <c r="G364" s="55"/>
    </row>
    <row r="365" ht="14.25" customHeight="1">
      <c r="G365" s="55"/>
    </row>
    <row r="366" ht="14.25" customHeight="1">
      <c r="G366" s="55"/>
    </row>
    <row r="367" ht="14.25" customHeight="1">
      <c r="G367" s="55"/>
    </row>
    <row r="368" ht="14.25" customHeight="1">
      <c r="G368" s="55"/>
    </row>
    <row r="369" ht="14.25" customHeight="1">
      <c r="G369" s="55"/>
    </row>
    <row r="370" ht="14.25" customHeight="1">
      <c r="G370" s="55"/>
    </row>
    <row r="371" ht="14.25" customHeight="1">
      <c r="G371" s="55"/>
    </row>
    <row r="372" ht="14.25" customHeight="1">
      <c r="G372" s="55"/>
    </row>
    <row r="373" ht="14.25" customHeight="1">
      <c r="G373" s="55"/>
    </row>
    <row r="374" ht="14.25" customHeight="1">
      <c r="G374" s="55"/>
    </row>
    <row r="375" ht="14.25" customHeight="1">
      <c r="G375" s="55"/>
    </row>
    <row r="376" ht="14.25" customHeight="1">
      <c r="G376" s="55"/>
    </row>
    <row r="377" ht="14.25" customHeight="1">
      <c r="G377" s="55"/>
    </row>
    <row r="378" ht="14.25" customHeight="1">
      <c r="G378" s="55"/>
    </row>
    <row r="379" ht="14.25" customHeight="1">
      <c r="G379" s="55"/>
    </row>
    <row r="380" ht="14.25" customHeight="1">
      <c r="G380" s="55"/>
    </row>
    <row r="381" ht="14.25" customHeight="1">
      <c r="G381" s="55"/>
    </row>
    <row r="382" ht="14.25" customHeight="1">
      <c r="G382" s="55"/>
    </row>
    <row r="383" ht="14.25" customHeight="1">
      <c r="G383" s="55"/>
    </row>
    <row r="384" ht="14.25" customHeight="1">
      <c r="G384" s="55"/>
    </row>
    <row r="385" ht="14.25" customHeight="1">
      <c r="G385" s="55"/>
    </row>
    <row r="386" ht="14.25" customHeight="1">
      <c r="G386" s="55"/>
    </row>
    <row r="387" ht="14.25" customHeight="1">
      <c r="G387" s="55"/>
    </row>
    <row r="388" ht="14.25" customHeight="1">
      <c r="G388" s="55"/>
    </row>
    <row r="389" ht="14.25" customHeight="1">
      <c r="G389" s="55"/>
    </row>
    <row r="390" ht="14.25" customHeight="1">
      <c r="G390" s="55"/>
    </row>
    <row r="391" ht="14.25" customHeight="1">
      <c r="G391" s="55"/>
    </row>
    <row r="392" ht="14.25" customHeight="1">
      <c r="G392" s="55"/>
    </row>
    <row r="393" ht="14.25" customHeight="1">
      <c r="G393" s="55"/>
    </row>
    <row r="394" ht="14.25" customHeight="1">
      <c r="G394" s="55"/>
    </row>
    <row r="395" ht="14.25" customHeight="1">
      <c r="G395" s="55"/>
    </row>
    <row r="396" ht="14.25" customHeight="1">
      <c r="G396" s="55"/>
    </row>
    <row r="397" ht="14.25" customHeight="1">
      <c r="G397" s="55"/>
    </row>
    <row r="398" ht="14.25" customHeight="1">
      <c r="G398" s="55"/>
    </row>
    <row r="399" ht="14.25" customHeight="1">
      <c r="G399" s="55"/>
    </row>
    <row r="400" ht="14.25" customHeight="1">
      <c r="G400" s="55"/>
    </row>
    <row r="401" ht="14.25" customHeight="1">
      <c r="G401" s="55"/>
    </row>
    <row r="402" ht="14.25" customHeight="1">
      <c r="G402" s="55"/>
    </row>
    <row r="403" ht="14.25" customHeight="1">
      <c r="G403" s="55"/>
    </row>
    <row r="404" ht="14.25" customHeight="1">
      <c r="G404" s="55"/>
    </row>
    <row r="405" ht="14.25" customHeight="1">
      <c r="G405" s="55"/>
    </row>
    <row r="406" ht="14.25" customHeight="1">
      <c r="G406" s="55"/>
    </row>
    <row r="407" ht="14.25" customHeight="1">
      <c r="G407" s="55"/>
    </row>
    <row r="408" ht="14.25" customHeight="1">
      <c r="G408" s="55"/>
    </row>
    <row r="409" ht="14.25" customHeight="1">
      <c r="G409" s="55"/>
    </row>
    <row r="410" ht="14.25" customHeight="1">
      <c r="G410" s="55"/>
    </row>
    <row r="411" ht="14.25" customHeight="1">
      <c r="G411" s="55"/>
    </row>
    <row r="412" ht="14.25" customHeight="1">
      <c r="G412" s="55"/>
    </row>
    <row r="413" ht="14.25" customHeight="1">
      <c r="G413" s="55"/>
    </row>
    <row r="414" ht="14.25" customHeight="1">
      <c r="G414" s="55"/>
    </row>
    <row r="415" ht="14.25" customHeight="1">
      <c r="G415" s="55"/>
    </row>
    <row r="416" ht="14.25" customHeight="1">
      <c r="G416" s="55"/>
    </row>
    <row r="417" ht="14.25" customHeight="1">
      <c r="G417" s="55"/>
    </row>
    <row r="418" ht="14.25" customHeight="1">
      <c r="G418" s="55"/>
    </row>
    <row r="419" ht="14.25" customHeight="1">
      <c r="G419" s="55"/>
    </row>
    <row r="420" ht="14.25" customHeight="1">
      <c r="G420" s="55"/>
    </row>
    <row r="421" ht="14.25" customHeight="1">
      <c r="G421" s="55"/>
    </row>
    <row r="422" ht="14.25" customHeight="1">
      <c r="G422" s="55"/>
    </row>
    <row r="423" ht="14.25" customHeight="1">
      <c r="G423" s="55"/>
    </row>
    <row r="424" ht="14.25" customHeight="1">
      <c r="G424" s="55"/>
    </row>
    <row r="425" ht="14.25" customHeight="1">
      <c r="G425" s="55"/>
    </row>
    <row r="426" ht="14.25" customHeight="1">
      <c r="G426" s="55"/>
    </row>
    <row r="427" ht="14.25" customHeight="1">
      <c r="G427" s="55"/>
    </row>
    <row r="428" ht="14.25" customHeight="1">
      <c r="G428" s="55"/>
    </row>
    <row r="429" ht="14.25" customHeight="1">
      <c r="G429" s="55"/>
    </row>
    <row r="430" ht="14.25" customHeight="1">
      <c r="G430" s="55"/>
    </row>
    <row r="431" ht="14.25" customHeight="1">
      <c r="G431" s="55"/>
    </row>
    <row r="432" ht="14.25" customHeight="1">
      <c r="G432" s="55"/>
    </row>
    <row r="433" ht="14.25" customHeight="1">
      <c r="G433" s="55"/>
    </row>
    <row r="434" ht="14.25" customHeight="1">
      <c r="G434" s="55"/>
    </row>
    <row r="435" ht="14.25" customHeight="1">
      <c r="G435" s="55"/>
    </row>
    <row r="436" ht="14.25" customHeight="1">
      <c r="G436" s="55"/>
    </row>
    <row r="437" ht="14.25" customHeight="1">
      <c r="G437" s="55"/>
    </row>
    <row r="438" ht="14.25" customHeight="1">
      <c r="G438" s="55"/>
    </row>
    <row r="439" ht="14.25" customHeight="1">
      <c r="G439" s="55"/>
    </row>
    <row r="440" ht="14.25" customHeight="1">
      <c r="G440" s="55"/>
    </row>
    <row r="441" ht="14.25" customHeight="1">
      <c r="G441" s="55"/>
    </row>
    <row r="442" ht="14.25" customHeight="1">
      <c r="G442" s="55"/>
    </row>
    <row r="443" ht="14.25" customHeight="1">
      <c r="G443" s="55"/>
    </row>
    <row r="444" ht="14.25" customHeight="1">
      <c r="G444" s="55"/>
    </row>
    <row r="445" ht="14.25" customHeight="1">
      <c r="G445" s="55"/>
    </row>
    <row r="446" ht="14.25" customHeight="1">
      <c r="G446" s="55"/>
    </row>
    <row r="447" ht="14.25" customHeight="1">
      <c r="G447" s="55"/>
    </row>
    <row r="448" ht="14.25" customHeight="1">
      <c r="G448" s="55"/>
    </row>
    <row r="449" ht="14.25" customHeight="1">
      <c r="G449" s="55"/>
    </row>
    <row r="450" ht="14.25" customHeight="1">
      <c r="G450" s="55"/>
    </row>
    <row r="451" ht="14.25" customHeight="1">
      <c r="G451" s="55"/>
    </row>
    <row r="452" ht="14.25" customHeight="1">
      <c r="G452" s="55"/>
    </row>
    <row r="453" ht="14.25" customHeight="1">
      <c r="G453" s="55"/>
    </row>
    <row r="454" ht="14.25" customHeight="1">
      <c r="G454" s="55"/>
    </row>
    <row r="455" ht="14.25" customHeight="1">
      <c r="G455" s="55"/>
    </row>
    <row r="456" ht="14.25" customHeight="1">
      <c r="G456" s="55"/>
    </row>
    <row r="457" ht="14.25" customHeight="1">
      <c r="G457" s="55"/>
    </row>
    <row r="458" ht="14.25" customHeight="1">
      <c r="G458" s="55"/>
    </row>
    <row r="459" ht="14.25" customHeight="1">
      <c r="G459" s="55"/>
    </row>
    <row r="460" ht="14.25" customHeight="1">
      <c r="G460" s="55"/>
    </row>
    <row r="461" ht="14.25" customHeight="1">
      <c r="G461" s="55"/>
    </row>
    <row r="462" ht="14.25" customHeight="1">
      <c r="G462" s="55"/>
    </row>
    <row r="463" ht="14.25" customHeight="1">
      <c r="G463" s="55"/>
    </row>
    <row r="464" ht="14.25" customHeight="1">
      <c r="G464" s="55"/>
    </row>
    <row r="465" ht="14.25" customHeight="1">
      <c r="G465" s="55"/>
    </row>
    <row r="466" ht="14.25" customHeight="1">
      <c r="G466" s="55"/>
    </row>
    <row r="467" ht="14.25" customHeight="1">
      <c r="G467" s="55"/>
    </row>
    <row r="468" ht="14.25" customHeight="1">
      <c r="G468" s="55"/>
    </row>
    <row r="469" ht="14.25" customHeight="1">
      <c r="G469" s="55"/>
    </row>
    <row r="470" ht="14.25" customHeight="1">
      <c r="G470" s="55"/>
    </row>
    <row r="471" ht="14.25" customHeight="1">
      <c r="G471" s="55"/>
    </row>
    <row r="472" ht="14.25" customHeight="1">
      <c r="G472" s="55"/>
    </row>
    <row r="473" ht="14.25" customHeight="1">
      <c r="G473" s="55"/>
    </row>
    <row r="474" ht="14.25" customHeight="1">
      <c r="G474" s="55"/>
    </row>
    <row r="475" ht="14.25" customHeight="1">
      <c r="G475" s="55"/>
    </row>
    <row r="476" ht="14.25" customHeight="1">
      <c r="G476" s="55"/>
    </row>
    <row r="477" ht="14.25" customHeight="1">
      <c r="G477" s="55"/>
    </row>
    <row r="478" ht="14.25" customHeight="1">
      <c r="G478" s="55"/>
    </row>
    <row r="479" ht="14.25" customHeight="1">
      <c r="G479" s="55"/>
    </row>
    <row r="480" ht="14.25" customHeight="1">
      <c r="G480" s="55"/>
    </row>
    <row r="481" ht="14.25" customHeight="1">
      <c r="G481" s="55"/>
    </row>
    <row r="482" ht="14.25" customHeight="1">
      <c r="G482" s="55"/>
    </row>
    <row r="483" ht="14.25" customHeight="1">
      <c r="G483" s="55"/>
    </row>
    <row r="484" ht="14.25" customHeight="1">
      <c r="G484" s="55"/>
    </row>
    <row r="485" ht="14.25" customHeight="1">
      <c r="G485" s="55"/>
    </row>
    <row r="486" ht="14.25" customHeight="1">
      <c r="G486" s="55"/>
    </row>
    <row r="487" ht="14.25" customHeight="1">
      <c r="G487" s="55"/>
    </row>
    <row r="488" ht="14.25" customHeight="1">
      <c r="G488" s="55"/>
    </row>
    <row r="489" ht="14.25" customHeight="1">
      <c r="G489" s="55"/>
    </row>
    <row r="490" ht="14.25" customHeight="1">
      <c r="G490" s="55"/>
    </row>
    <row r="491" ht="14.25" customHeight="1">
      <c r="G491" s="55"/>
    </row>
    <row r="492" ht="14.25" customHeight="1">
      <c r="G492" s="55"/>
    </row>
    <row r="493" ht="14.25" customHeight="1">
      <c r="G493" s="55"/>
    </row>
    <row r="494" ht="14.25" customHeight="1">
      <c r="G494" s="55"/>
    </row>
    <row r="495" ht="14.25" customHeight="1">
      <c r="G495" s="55"/>
    </row>
    <row r="496" ht="14.25" customHeight="1">
      <c r="G496" s="55"/>
    </row>
    <row r="497" ht="14.25" customHeight="1">
      <c r="G497" s="55"/>
    </row>
    <row r="498" ht="14.25" customHeight="1">
      <c r="G498" s="55"/>
    </row>
    <row r="499" ht="14.25" customHeight="1">
      <c r="G499" s="55"/>
    </row>
    <row r="500" ht="14.25" customHeight="1">
      <c r="G500" s="55"/>
    </row>
    <row r="501" ht="14.25" customHeight="1">
      <c r="G501" s="55"/>
    </row>
    <row r="502" ht="14.25" customHeight="1">
      <c r="G502" s="55"/>
    </row>
    <row r="503" ht="14.25" customHeight="1">
      <c r="G503" s="55"/>
    </row>
    <row r="504" ht="14.25" customHeight="1">
      <c r="G504" s="55"/>
    </row>
    <row r="505" ht="14.25" customHeight="1">
      <c r="G505" s="55"/>
    </row>
    <row r="506" ht="14.25" customHeight="1">
      <c r="G506" s="55"/>
    </row>
    <row r="507" ht="14.25" customHeight="1">
      <c r="G507" s="55"/>
    </row>
    <row r="508" ht="14.25" customHeight="1">
      <c r="G508" s="55"/>
    </row>
    <row r="509" ht="14.25" customHeight="1">
      <c r="G509" s="55"/>
    </row>
    <row r="510" ht="14.25" customHeight="1">
      <c r="G510" s="55"/>
    </row>
    <row r="511" ht="14.25" customHeight="1">
      <c r="G511" s="55"/>
    </row>
    <row r="512" ht="14.25" customHeight="1">
      <c r="G512" s="55"/>
    </row>
    <row r="513" ht="14.25" customHeight="1">
      <c r="G513" s="55"/>
    </row>
    <row r="514" ht="14.25" customHeight="1">
      <c r="G514" s="55"/>
    </row>
    <row r="515" ht="14.25" customHeight="1">
      <c r="G515" s="55"/>
    </row>
    <row r="516" ht="14.25" customHeight="1">
      <c r="G516" s="55"/>
    </row>
    <row r="517" ht="14.25" customHeight="1">
      <c r="G517" s="55"/>
    </row>
    <row r="518" ht="14.25" customHeight="1">
      <c r="G518" s="55"/>
    </row>
    <row r="519" ht="14.25" customHeight="1">
      <c r="G519" s="55"/>
    </row>
    <row r="520" ht="14.25" customHeight="1">
      <c r="G520" s="55"/>
    </row>
    <row r="521" ht="14.25" customHeight="1">
      <c r="G521" s="55"/>
    </row>
    <row r="522" ht="14.25" customHeight="1">
      <c r="G522" s="55"/>
    </row>
    <row r="523" ht="14.25" customHeight="1">
      <c r="G523" s="55"/>
    </row>
    <row r="524" ht="14.25" customHeight="1">
      <c r="G524" s="55"/>
    </row>
    <row r="525" ht="14.25" customHeight="1">
      <c r="G525" s="55"/>
    </row>
    <row r="526" ht="14.25" customHeight="1">
      <c r="G526" s="55"/>
    </row>
    <row r="527" ht="14.25" customHeight="1">
      <c r="G527" s="55"/>
    </row>
    <row r="528" ht="14.25" customHeight="1">
      <c r="G528" s="55"/>
    </row>
    <row r="529" ht="14.25" customHeight="1">
      <c r="G529" s="55"/>
    </row>
    <row r="530" ht="14.25" customHeight="1">
      <c r="G530" s="55"/>
    </row>
    <row r="531" ht="14.25" customHeight="1">
      <c r="G531" s="55"/>
    </row>
    <row r="532" ht="14.25" customHeight="1">
      <c r="G532" s="55"/>
    </row>
    <row r="533" ht="14.25" customHeight="1">
      <c r="G533" s="55"/>
    </row>
    <row r="534" ht="14.25" customHeight="1">
      <c r="G534" s="55"/>
    </row>
    <row r="535" ht="14.25" customHeight="1">
      <c r="G535" s="55"/>
    </row>
    <row r="536" ht="14.25" customHeight="1">
      <c r="G536" s="55"/>
    </row>
    <row r="537" ht="14.25" customHeight="1">
      <c r="G537" s="55"/>
    </row>
    <row r="538" ht="14.25" customHeight="1">
      <c r="G538" s="55"/>
    </row>
    <row r="539" ht="14.25" customHeight="1">
      <c r="G539" s="55"/>
    </row>
    <row r="540" ht="14.25" customHeight="1">
      <c r="G540" s="55"/>
    </row>
    <row r="541" ht="14.25" customHeight="1">
      <c r="G541" s="55"/>
    </row>
    <row r="542" ht="14.25" customHeight="1">
      <c r="G542" s="55"/>
    </row>
    <row r="543" ht="14.25" customHeight="1">
      <c r="G543" s="55"/>
    </row>
    <row r="544" ht="14.25" customHeight="1">
      <c r="G544" s="55"/>
    </row>
    <row r="545" ht="14.25" customHeight="1">
      <c r="G545" s="55"/>
    </row>
    <row r="546" ht="14.25" customHeight="1">
      <c r="G546" s="55"/>
    </row>
    <row r="547" ht="14.25" customHeight="1">
      <c r="G547" s="55"/>
    </row>
    <row r="548" ht="14.25" customHeight="1">
      <c r="G548" s="55"/>
    </row>
    <row r="549" ht="14.25" customHeight="1">
      <c r="G549" s="55"/>
    </row>
    <row r="550" ht="14.25" customHeight="1">
      <c r="G550" s="55"/>
    </row>
    <row r="551" ht="14.25" customHeight="1">
      <c r="G551" s="55"/>
    </row>
    <row r="552" ht="14.25" customHeight="1">
      <c r="G552" s="55"/>
    </row>
    <row r="553" ht="14.25" customHeight="1">
      <c r="G553" s="55"/>
    </row>
    <row r="554" ht="14.25" customHeight="1">
      <c r="G554" s="55"/>
    </row>
    <row r="555" ht="14.25" customHeight="1">
      <c r="G555" s="55"/>
    </row>
    <row r="556" ht="14.25" customHeight="1">
      <c r="G556" s="55"/>
    </row>
    <row r="557" ht="14.25" customHeight="1">
      <c r="G557" s="55"/>
    </row>
    <row r="558" ht="14.25" customHeight="1">
      <c r="G558" s="55"/>
    </row>
    <row r="559" ht="14.25" customHeight="1">
      <c r="G559" s="55"/>
    </row>
    <row r="560" ht="14.25" customHeight="1">
      <c r="G560" s="55"/>
    </row>
    <row r="561" ht="14.25" customHeight="1">
      <c r="G561" s="55"/>
    </row>
    <row r="562" ht="14.25" customHeight="1">
      <c r="G562" s="55"/>
    </row>
    <row r="563" ht="14.25" customHeight="1">
      <c r="G563" s="55"/>
    </row>
    <row r="564" ht="14.25" customHeight="1">
      <c r="G564" s="55"/>
    </row>
    <row r="565" ht="14.25" customHeight="1">
      <c r="G565" s="55"/>
    </row>
    <row r="566" ht="14.25" customHeight="1">
      <c r="G566" s="55"/>
    </row>
    <row r="567" ht="14.25" customHeight="1">
      <c r="G567" s="55"/>
    </row>
    <row r="568" ht="14.25" customHeight="1">
      <c r="G568" s="55"/>
    </row>
    <row r="569" ht="14.25" customHeight="1">
      <c r="G569" s="55"/>
    </row>
    <row r="570" ht="14.25" customHeight="1">
      <c r="G570" s="55"/>
    </row>
    <row r="571" ht="14.25" customHeight="1">
      <c r="G571" s="55"/>
    </row>
    <row r="572" ht="14.25" customHeight="1">
      <c r="G572" s="55"/>
    </row>
    <row r="573" ht="14.25" customHeight="1">
      <c r="G573" s="55"/>
    </row>
    <row r="574" ht="14.25" customHeight="1">
      <c r="G574" s="55"/>
    </row>
    <row r="575" ht="14.25" customHeight="1">
      <c r="G575" s="55"/>
    </row>
    <row r="576" ht="14.25" customHeight="1">
      <c r="G576" s="55"/>
    </row>
    <row r="577" ht="14.25" customHeight="1">
      <c r="G577" s="55"/>
    </row>
    <row r="578" ht="14.25" customHeight="1">
      <c r="G578" s="55"/>
    </row>
    <row r="579" ht="14.25" customHeight="1">
      <c r="G579" s="55"/>
    </row>
    <row r="580" ht="14.25" customHeight="1">
      <c r="G580" s="55"/>
    </row>
    <row r="581" ht="14.25" customHeight="1">
      <c r="G581" s="55"/>
    </row>
    <row r="582" ht="14.25" customHeight="1">
      <c r="G582" s="55"/>
    </row>
    <row r="583" ht="14.25" customHeight="1">
      <c r="G583" s="55"/>
    </row>
    <row r="584" ht="14.25" customHeight="1">
      <c r="G584" s="55"/>
    </row>
    <row r="585" ht="14.25" customHeight="1">
      <c r="G585" s="55"/>
    </row>
    <row r="586" ht="14.25" customHeight="1">
      <c r="G586" s="55"/>
    </row>
    <row r="587" ht="14.25" customHeight="1">
      <c r="G587" s="55"/>
    </row>
    <row r="588" ht="14.25" customHeight="1">
      <c r="G588" s="55"/>
    </row>
    <row r="589" ht="14.25" customHeight="1">
      <c r="G589" s="55"/>
    </row>
    <row r="590" ht="14.25" customHeight="1">
      <c r="G590" s="55"/>
    </row>
    <row r="591" ht="14.25" customHeight="1">
      <c r="G591" s="55"/>
    </row>
    <row r="592" ht="14.25" customHeight="1">
      <c r="G592" s="55"/>
    </row>
    <row r="593" ht="14.25" customHeight="1">
      <c r="G593" s="55"/>
    </row>
    <row r="594" ht="14.25" customHeight="1">
      <c r="G594" s="55"/>
    </row>
    <row r="595" ht="14.25" customHeight="1">
      <c r="G595" s="55"/>
    </row>
    <row r="596" ht="14.25" customHeight="1">
      <c r="G596" s="55"/>
    </row>
    <row r="597" ht="14.25" customHeight="1">
      <c r="G597" s="55"/>
    </row>
    <row r="598" ht="14.25" customHeight="1">
      <c r="G598" s="55"/>
    </row>
    <row r="599" ht="14.25" customHeight="1">
      <c r="G599" s="55"/>
    </row>
    <row r="600" ht="14.25" customHeight="1">
      <c r="G600" s="55"/>
    </row>
    <row r="601" ht="14.25" customHeight="1">
      <c r="G601" s="55"/>
    </row>
    <row r="602" ht="14.25" customHeight="1">
      <c r="G602" s="55"/>
    </row>
    <row r="603" ht="14.25" customHeight="1">
      <c r="G603" s="55"/>
    </row>
    <row r="604" ht="14.25" customHeight="1">
      <c r="G604" s="55"/>
    </row>
    <row r="605" ht="14.25" customHeight="1">
      <c r="G605" s="55"/>
    </row>
    <row r="606" ht="14.25" customHeight="1">
      <c r="G606" s="55"/>
    </row>
    <row r="607" ht="14.25" customHeight="1">
      <c r="G607" s="55"/>
    </row>
    <row r="608" ht="14.25" customHeight="1">
      <c r="G608" s="55"/>
    </row>
    <row r="609" ht="14.25" customHeight="1">
      <c r="G609" s="55"/>
    </row>
    <row r="610" ht="14.25" customHeight="1">
      <c r="G610" s="55"/>
    </row>
    <row r="611" ht="14.25" customHeight="1">
      <c r="G611" s="55"/>
    </row>
    <row r="612" ht="14.25" customHeight="1">
      <c r="G612" s="55"/>
    </row>
    <row r="613" ht="14.25" customHeight="1">
      <c r="G613" s="55"/>
    </row>
    <row r="614" ht="14.25" customHeight="1">
      <c r="G614" s="55"/>
    </row>
    <row r="615" ht="14.25" customHeight="1">
      <c r="G615" s="55"/>
    </row>
    <row r="616" ht="14.25" customHeight="1">
      <c r="G616" s="55"/>
    </row>
    <row r="617" ht="14.25" customHeight="1">
      <c r="G617" s="55"/>
    </row>
    <row r="618" ht="14.25" customHeight="1">
      <c r="G618" s="55"/>
    </row>
    <row r="619" ht="14.25" customHeight="1">
      <c r="G619" s="55"/>
    </row>
    <row r="620" ht="14.25" customHeight="1">
      <c r="G620" s="55"/>
    </row>
    <row r="621" ht="14.25" customHeight="1">
      <c r="G621" s="55"/>
    </row>
    <row r="622" ht="14.25" customHeight="1">
      <c r="G622" s="55"/>
    </row>
    <row r="623" ht="14.25" customHeight="1">
      <c r="G623" s="55"/>
    </row>
    <row r="624" ht="14.25" customHeight="1">
      <c r="G624" s="55"/>
    </row>
    <row r="625" ht="14.25" customHeight="1">
      <c r="G625" s="55"/>
    </row>
    <row r="626" ht="14.25" customHeight="1">
      <c r="G626" s="55"/>
    </row>
    <row r="627" ht="14.25" customHeight="1">
      <c r="G627" s="55"/>
    </row>
    <row r="628" ht="14.25" customHeight="1">
      <c r="G628" s="55"/>
    </row>
    <row r="629" ht="14.25" customHeight="1">
      <c r="G629" s="55"/>
    </row>
    <row r="630" ht="14.25" customHeight="1">
      <c r="G630" s="55"/>
    </row>
    <row r="631" ht="14.25" customHeight="1">
      <c r="G631" s="55"/>
    </row>
    <row r="632" ht="14.25" customHeight="1">
      <c r="G632" s="55"/>
    </row>
    <row r="633" ht="14.25" customHeight="1">
      <c r="G633" s="55"/>
    </row>
    <row r="634" ht="14.25" customHeight="1">
      <c r="G634" s="55"/>
    </row>
    <row r="635" ht="14.25" customHeight="1">
      <c r="G635" s="55"/>
    </row>
    <row r="636" ht="14.25" customHeight="1">
      <c r="G636" s="55"/>
    </row>
    <row r="637" ht="14.25" customHeight="1">
      <c r="G637" s="55"/>
    </row>
    <row r="638" ht="14.25" customHeight="1">
      <c r="G638" s="55"/>
    </row>
    <row r="639" ht="14.25" customHeight="1">
      <c r="G639" s="55"/>
    </row>
    <row r="640" ht="14.25" customHeight="1">
      <c r="G640" s="55"/>
    </row>
    <row r="641" ht="14.25" customHeight="1">
      <c r="G641" s="55"/>
    </row>
    <row r="642" ht="14.25" customHeight="1">
      <c r="G642" s="55"/>
    </row>
    <row r="643" ht="14.25" customHeight="1">
      <c r="G643" s="55"/>
    </row>
    <row r="644" ht="14.25" customHeight="1">
      <c r="G644" s="55"/>
    </row>
    <row r="645" ht="14.25" customHeight="1">
      <c r="G645" s="55"/>
    </row>
    <row r="646" ht="14.25" customHeight="1">
      <c r="G646" s="55"/>
    </row>
    <row r="647" ht="14.25" customHeight="1">
      <c r="G647" s="55"/>
    </row>
    <row r="648" ht="14.25" customHeight="1">
      <c r="G648" s="55"/>
    </row>
    <row r="649" ht="14.25" customHeight="1">
      <c r="G649" s="55"/>
    </row>
    <row r="650" ht="14.25" customHeight="1">
      <c r="G650" s="55"/>
    </row>
    <row r="651" ht="14.25" customHeight="1">
      <c r="G651" s="55"/>
    </row>
    <row r="652" ht="14.25" customHeight="1">
      <c r="G652" s="55"/>
    </row>
    <row r="653" ht="14.25" customHeight="1">
      <c r="G653" s="55"/>
    </row>
    <row r="654" ht="14.25" customHeight="1">
      <c r="G654" s="55"/>
    </row>
    <row r="655" ht="14.25" customHeight="1">
      <c r="G655" s="55"/>
    </row>
    <row r="656" ht="14.25" customHeight="1">
      <c r="G656" s="55"/>
    </row>
    <row r="657" ht="14.25" customHeight="1">
      <c r="G657" s="55"/>
    </row>
    <row r="658" ht="14.25" customHeight="1">
      <c r="G658" s="55"/>
    </row>
    <row r="659" ht="14.25" customHeight="1">
      <c r="G659" s="55"/>
    </row>
    <row r="660" ht="14.25" customHeight="1">
      <c r="G660" s="55"/>
    </row>
    <row r="661" ht="14.25" customHeight="1">
      <c r="G661" s="55"/>
    </row>
    <row r="662" ht="14.25" customHeight="1">
      <c r="G662" s="55"/>
    </row>
    <row r="663" ht="14.25" customHeight="1">
      <c r="G663" s="55"/>
    </row>
    <row r="664" ht="14.25" customHeight="1">
      <c r="G664" s="55"/>
    </row>
    <row r="665" ht="14.25" customHeight="1">
      <c r="G665" s="55"/>
    </row>
    <row r="666" ht="14.25" customHeight="1">
      <c r="G666" s="55"/>
    </row>
    <row r="667" ht="14.25" customHeight="1">
      <c r="G667" s="55"/>
    </row>
    <row r="668" ht="14.25" customHeight="1">
      <c r="G668" s="55"/>
    </row>
    <row r="669" ht="14.25" customHeight="1">
      <c r="G669" s="55"/>
    </row>
    <row r="670" ht="14.25" customHeight="1">
      <c r="G670" s="55"/>
    </row>
    <row r="671" ht="14.25" customHeight="1">
      <c r="G671" s="55"/>
    </row>
    <row r="672" ht="14.25" customHeight="1">
      <c r="G672" s="55"/>
    </row>
    <row r="673" ht="14.25" customHeight="1">
      <c r="G673" s="55"/>
    </row>
    <row r="674" ht="14.25" customHeight="1">
      <c r="G674" s="55"/>
    </row>
    <row r="675" ht="14.25" customHeight="1">
      <c r="G675" s="55"/>
    </row>
    <row r="676" ht="14.25" customHeight="1">
      <c r="G676" s="55"/>
    </row>
    <row r="677" ht="14.25" customHeight="1">
      <c r="G677" s="55"/>
    </row>
    <row r="678" ht="14.25" customHeight="1">
      <c r="G678" s="55"/>
    </row>
    <row r="679" ht="14.25" customHeight="1">
      <c r="G679" s="55"/>
    </row>
    <row r="680" ht="14.25" customHeight="1">
      <c r="G680" s="55"/>
    </row>
    <row r="681" ht="14.25" customHeight="1">
      <c r="G681" s="55"/>
    </row>
    <row r="682" ht="14.25" customHeight="1">
      <c r="G682" s="55"/>
    </row>
    <row r="683" ht="14.25" customHeight="1">
      <c r="G683" s="55"/>
    </row>
    <row r="684" ht="14.25" customHeight="1">
      <c r="G684" s="55"/>
    </row>
    <row r="685" ht="14.25" customHeight="1">
      <c r="G685" s="55"/>
    </row>
    <row r="686" ht="14.25" customHeight="1">
      <c r="G686" s="55"/>
    </row>
    <row r="687" ht="14.25" customHeight="1">
      <c r="G687" s="55"/>
    </row>
    <row r="688" ht="14.25" customHeight="1">
      <c r="G688" s="55"/>
    </row>
    <row r="689" ht="14.25" customHeight="1">
      <c r="G689" s="55"/>
    </row>
    <row r="690" ht="14.25" customHeight="1">
      <c r="G690" s="55"/>
    </row>
    <row r="691" ht="14.25" customHeight="1">
      <c r="G691" s="55"/>
    </row>
    <row r="692" ht="14.25" customHeight="1">
      <c r="G692" s="55"/>
    </row>
    <row r="693" ht="14.25" customHeight="1">
      <c r="G693" s="55"/>
    </row>
    <row r="694" ht="14.25" customHeight="1">
      <c r="G694" s="55"/>
    </row>
    <row r="695" ht="14.25" customHeight="1">
      <c r="G695" s="55"/>
    </row>
    <row r="696" ht="14.25" customHeight="1">
      <c r="G696" s="55"/>
    </row>
    <row r="697" ht="14.25" customHeight="1">
      <c r="G697" s="55"/>
    </row>
    <row r="698" ht="14.25" customHeight="1">
      <c r="G698" s="55"/>
    </row>
    <row r="699" ht="14.25" customHeight="1">
      <c r="G699" s="55"/>
    </row>
    <row r="700" ht="14.25" customHeight="1">
      <c r="G700" s="55"/>
    </row>
    <row r="701" ht="14.25" customHeight="1">
      <c r="G701" s="55"/>
    </row>
    <row r="702" ht="14.25" customHeight="1">
      <c r="G702" s="55"/>
    </row>
    <row r="703" ht="14.25" customHeight="1">
      <c r="G703" s="55"/>
    </row>
    <row r="704" ht="14.25" customHeight="1">
      <c r="G704" s="55"/>
    </row>
    <row r="705" ht="14.25" customHeight="1">
      <c r="G705" s="55"/>
    </row>
    <row r="706" ht="14.25" customHeight="1">
      <c r="G706" s="55"/>
    </row>
    <row r="707" ht="14.25" customHeight="1">
      <c r="G707" s="55"/>
    </row>
    <row r="708" ht="14.25" customHeight="1">
      <c r="G708" s="55"/>
    </row>
    <row r="709" ht="14.25" customHeight="1">
      <c r="G709" s="55"/>
    </row>
    <row r="710" ht="14.25" customHeight="1">
      <c r="G710" s="55"/>
    </row>
    <row r="711" ht="14.25" customHeight="1">
      <c r="G711" s="55"/>
    </row>
    <row r="712" ht="14.25" customHeight="1">
      <c r="G712" s="55"/>
    </row>
    <row r="713" ht="14.25" customHeight="1">
      <c r="G713" s="55"/>
    </row>
    <row r="714" ht="14.25" customHeight="1">
      <c r="G714" s="55"/>
    </row>
    <row r="715" ht="14.25" customHeight="1">
      <c r="G715" s="55"/>
    </row>
    <row r="716" ht="14.25" customHeight="1">
      <c r="G716" s="55"/>
    </row>
    <row r="717" ht="14.25" customHeight="1">
      <c r="G717" s="55"/>
    </row>
    <row r="718" ht="14.25" customHeight="1">
      <c r="G718" s="55"/>
    </row>
    <row r="719" ht="14.25" customHeight="1">
      <c r="G719" s="55"/>
    </row>
    <row r="720" ht="14.25" customHeight="1">
      <c r="G720" s="55"/>
    </row>
    <row r="721" ht="14.25" customHeight="1">
      <c r="G721" s="55"/>
    </row>
    <row r="722" ht="14.25" customHeight="1">
      <c r="G722" s="55"/>
    </row>
    <row r="723" ht="14.25" customHeight="1">
      <c r="G723" s="55"/>
    </row>
    <row r="724" ht="14.25" customHeight="1">
      <c r="G724" s="55"/>
    </row>
    <row r="725" ht="14.25" customHeight="1">
      <c r="G725" s="55"/>
    </row>
    <row r="726" ht="14.25" customHeight="1">
      <c r="G726" s="55"/>
    </row>
    <row r="727" ht="14.25" customHeight="1">
      <c r="G727" s="55"/>
    </row>
    <row r="728" ht="14.25" customHeight="1">
      <c r="G728" s="55"/>
    </row>
    <row r="729" ht="14.25" customHeight="1">
      <c r="G729" s="55"/>
    </row>
    <row r="730" ht="14.25" customHeight="1">
      <c r="G730" s="55"/>
    </row>
    <row r="731" ht="14.25" customHeight="1">
      <c r="G731" s="55"/>
    </row>
    <row r="732" ht="14.25" customHeight="1">
      <c r="G732" s="55"/>
    </row>
    <row r="733" ht="14.25" customHeight="1">
      <c r="G733" s="55"/>
    </row>
    <row r="734" ht="14.25" customHeight="1">
      <c r="G734" s="55"/>
    </row>
    <row r="735" ht="14.25" customHeight="1">
      <c r="G735" s="55"/>
    </row>
    <row r="736" ht="14.25" customHeight="1">
      <c r="G736" s="55"/>
    </row>
    <row r="737" ht="14.25" customHeight="1">
      <c r="G737" s="55"/>
    </row>
    <row r="738" ht="14.25" customHeight="1">
      <c r="G738" s="55"/>
    </row>
    <row r="739" ht="14.25" customHeight="1">
      <c r="G739" s="55"/>
    </row>
    <row r="740" ht="14.25" customHeight="1">
      <c r="G740" s="55"/>
    </row>
    <row r="741" ht="14.25" customHeight="1">
      <c r="G741" s="55"/>
    </row>
    <row r="742" ht="14.25" customHeight="1">
      <c r="G742" s="55"/>
    </row>
    <row r="743" ht="14.25" customHeight="1">
      <c r="G743" s="55"/>
    </row>
    <row r="744" ht="14.25" customHeight="1">
      <c r="G744" s="55"/>
    </row>
    <row r="745" ht="14.25" customHeight="1">
      <c r="G745" s="55"/>
    </row>
    <row r="746" ht="14.25" customHeight="1">
      <c r="G746" s="55"/>
    </row>
    <row r="747" ht="14.25" customHeight="1">
      <c r="G747" s="55"/>
    </row>
    <row r="748" ht="14.25" customHeight="1">
      <c r="G748" s="55"/>
    </row>
    <row r="749" ht="14.25" customHeight="1">
      <c r="G749" s="55"/>
    </row>
    <row r="750" ht="14.25" customHeight="1">
      <c r="G750" s="55"/>
    </row>
    <row r="751" ht="14.25" customHeight="1">
      <c r="G751" s="55"/>
    </row>
    <row r="752" ht="14.25" customHeight="1">
      <c r="G752" s="55"/>
    </row>
    <row r="753" ht="14.25" customHeight="1">
      <c r="G753" s="55"/>
    </row>
    <row r="754" ht="14.25" customHeight="1">
      <c r="G754" s="55"/>
    </row>
    <row r="755" ht="14.25" customHeight="1">
      <c r="G755" s="55"/>
    </row>
    <row r="756" ht="14.25" customHeight="1">
      <c r="G756" s="55"/>
    </row>
    <row r="757" ht="14.25" customHeight="1">
      <c r="G757" s="55"/>
    </row>
    <row r="758" ht="14.25" customHeight="1">
      <c r="G758" s="55"/>
    </row>
    <row r="759" ht="14.25" customHeight="1">
      <c r="G759" s="55"/>
    </row>
    <row r="760" ht="14.25" customHeight="1">
      <c r="G760" s="55"/>
    </row>
    <row r="761" ht="14.25" customHeight="1">
      <c r="G761" s="55"/>
    </row>
    <row r="762" ht="14.25" customHeight="1">
      <c r="G762" s="55"/>
    </row>
    <row r="763" ht="14.25" customHeight="1">
      <c r="G763" s="55"/>
    </row>
    <row r="764" ht="14.25" customHeight="1">
      <c r="G764" s="55"/>
    </row>
    <row r="765" ht="14.25" customHeight="1">
      <c r="G765" s="55"/>
    </row>
    <row r="766" ht="14.25" customHeight="1">
      <c r="G766" s="55"/>
    </row>
    <row r="767" ht="14.25" customHeight="1">
      <c r="G767" s="55"/>
    </row>
    <row r="768" ht="14.25" customHeight="1">
      <c r="G768" s="55"/>
    </row>
    <row r="769" ht="14.25" customHeight="1">
      <c r="G769" s="55"/>
    </row>
    <row r="770" ht="14.25" customHeight="1">
      <c r="G770" s="55"/>
    </row>
    <row r="771" ht="14.25" customHeight="1">
      <c r="G771" s="55"/>
    </row>
    <row r="772" ht="14.25" customHeight="1">
      <c r="G772" s="55"/>
    </row>
    <row r="773" ht="14.25" customHeight="1">
      <c r="G773" s="55"/>
    </row>
    <row r="774" ht="14.25" customHeight="1">
      <c r="G774" s="55"/>
    </row>
    <row r="775" ht="14.25" customHeight="1">
      <c r="G775" s="55"/>
    </row>
    <row r="776" ht="14.25" customHeight="1">
      <c r="G776" s="55"/>
    </row>
    <row r="777" ht="14.25" customHeight="1">
      <c r="G777" s="55"/>
    </row>
    <row r="778" ht="14.25" customHeight="1">
      <c r="G778" s="55"/>
    </row>
    <row r="779" ht="14.25" customHeight="1">
      <c r="G779" s="55"/>
    </row>
    <row r="780" ht="14.25" customHeight="1">
      <c r="G780" s="55"/>
    </row>
    <row r="781" ht="14.25" customHeight="1">
      <c r="G781" s="55"/>
    </row>
    <row r="782" ht="14.25" customHeight="1">
      <c r="G782" s="55"/>
    </row>
    <row r="783" ht="14.25" customHeight="1">
      <c r="G783" s="55"/>
    </row>
    <row r="784" ht="14.25" customHeight="1">
      <c r="G784" s="55"/>
    </row>
    <row r="785" ht="14.25" customHeight="1">
      <c r="G785" s="55"/>
    </row>
    <row r="786" ht="14.25" customHeight="1">
      <c r="G786" s="55"/>
    </row>
    <row r="787" ht="14.25" customHeight="1">
      <c r="G787" s="55"/>
    </row>
    <row r="788" ht="14.25" customHeight="1">
      <c r="G788" s="55"/>
    </row>
    <row r="789" ht="14.25" customHeight="1">
      <c r="G789" s="55"/>
    </row>
    <row r="790" ht="14.25" customHeight="1">
      <c r="G790" s="55"/>
    </row>
    <row r="791" ht="14.25" customHeight="1">
      <c r="G791" s="55"/>
    </row>
    <row r="792" ht="14.25" customHeight="1">
      <c r="G792" s="55"/>
    </row>
    <row r="793" ht="14.25" customHeight="1">
      <c r="G793" s="55"/>
    </row>
    <row r="794" ht="14.25" customHeight="1">
      <c r="G794" s="55"/>
    </row>
    <row r="795" ht="14.25" customHeight="1">
      <c r="G795" s="55"/>
    </row>
    <row r="796" ht="14.25" customHeight="1">
      <c r="G796" s="55"/>
    </row>
    <row r="797" ht="14.25" customHeight="1">
      <c r="G797" s="55"/>
    </row>
    <row r="798" ht="14.25" customHeight="1">
      <c r="G798" s="55"/>
    </row>
    <row r="799" ht="14.25" customHeight="1">
      <c r="G799" s="55"/>
    </row>
    <row r="800" ht="14.25" customHeight="1">
      <c r="G800" s="55"/>
    </row>
    <row r="801" ht="14.25" customHeight="1">
      <c r="G801" s="55"/>
    </row>
    <row r="802" ht="14.25" customHeight="1">
      <c r="G802" s="55"/>
    </row>
    <row r="803" ht="14.25" customHeight="1">
      <c r="G803" s="55"/>
    </row>
    <row r="804" ht="14.25" customHeight="1">
      <c r="G804" s="55"/>
    </row>
    <row r="805" ht="14.25" customHeight="1">
      <c r="G805" s="55"/>
    </row>
    <row r="806" ht="14.25" customHeight="1">
      <c r="G806" s="55"/>
    </row>
    <row r="807" ht="14.25" customHeight="1">
      <c r="G807" s="55"/>
    </row>
    <row r="808" ht="14.25" customHeight="1">
      <c r="G808" s="55"/>
    </row>
    <row r="809" ht="14.25" customHeight="1">
      <c r="G809" s="55"/>
    </row>
    <row r="810" ht="14.25" customHeight="1">
      <c r="G810" s="55"/>
    </row>
    <row r="811" ht="14.25" customHeight="1">
      <c r="G811" s="55"/>
    </row>
    <row r="812" ht="14.25" customHeight="1">
      <c r="G812" s="55"/>
    </row>
    <row r="813" ht="14.25" customHeight="1">
      <c r="G813" s="55"/>
    </row>
    <row r="814" ht="14.25" customHeight="1">
      <c r="G814" s="55"/>
    </row>
    <row r="815" ht="14.25" customHeight="1">
      <c r="G815" s="55"/>
    </row>
    <row r="816" ht="14.25" customHeight="1">
      <c r="G816" s="55"/>
    </row>
    <row r="817" ht="14.25" customHeight="1">
      <c r="G817" s="55"/>
    </row>
    <row r="818" ht="14.25" customHeight="1">
      <c r="G818" s="55"/>
    </row>
    <row r="819" ht="14.25" customHeight="1">
      <c r="G819" s="55"/>
    </row>
    <row r="820" ht="14.25" customHeight="1">
      <c r="G820" s="55"/>
    </row>
    <row r="821" ht="14.25" customHeight="1">
      <c r="G821" s="55"/>
    </row>
    <row r="822" ht="14.25" customHeight="1">
      <c r="G822" s="55"/>
    </row>
    <row r="823" ht="14.25" customHeight="1">
      <c r="G823" s="55"/>
    </row>
    <row r="824" ht="14.25" customHeight="1">
      <c r="G824" s="55"/>
    </row>
    <row r="825" ht="14.25" customHeight="1">
      <c r="G825" s="55"/>
    </row>
    <row r="826" ht="14.25" customHeight="1">
      <c r="G826" s="55"/>
    </row>
    <row r="827" ht="14.25" customHeight="1">
      <c r="G827" s="55"/>
    </row>
    <row r="828" ht="14.25" customHeight="1">
      <c r="G828" s="55"/>
    </row>
    <row r="829" ht="14.25" customHeight="1">
      <c r="G829" s="55"/>
    </row>
    <row r="830" ht="14.25" customHeight="1">
      <c r="G830" s="55"/>
    </row>
    <row r="831" ht="14.25" customHeight="1">
      <c r="G831" s="55"/>
    </row>
    <row r="832" ht="14.25" customHeight="1">
      <c r="G832" s="55"/>
    </row>
    <row r="833" ht="14.25" customHeight="1">
      <c r="G833" s="55"/>
    </row>
    <row r="834" ht="14.25" customHeight="1">
      <c r="G834" s="55"/>
    </row>
    <row r="835" ht="14.25" customHeight="1">
      <c r="G835" s="55"/>
    </row>
    <row r="836" ht="14.25" customHeight="1">
      <c r="G836" s="55"/>
    </row>
    <row r="837" ht="14.25" customHeight="1">
      <c r="G837" s="55"/>
    </row>
    <row r="838" ht="14.25" customHeight="1">
      <c r="G838" s="55"/>
    </row>
    <row r="839" ht="14.25" customHeight="1">
      <c r="G839" s="55"/>
    </row>
    <row r="840" ht="14.25" customHeight="1">
      <c r="G840" s="55"/>
    </row>
    <row r="841" ht="14.25" customHeight="1">
      <c r="G841" s="55"/>
    </row>
    <row r="842" ht="14.25" customHeight="1">
      <c r="G842" s="55"/>
    </row>
    <row r="843" ht="14.25" customHeight="1">
      <c r="G843" s="55"/>
    </row>
    <row r="844" ht="14.25" customHeight="1">
      <c r="G844" s="55"/>
    </row>
    <row r="845" ht="14.25" customHeight="1">
      <c r="G845" s="55"/>
    </row>
    <row r="846" ht="14.25" customHeight="1">
      <c r="G846" s="55"/>
    </row>
    <row r="847" ht="14.25" customHeight="1">
      <c r="G847" s="55"/>
    </row>
    <row r="848" ht="14.25" customHeight="1">
      <c r="G848" s="55"/>
    </row>
    <row r="849" ht="14.25" customHeight="1">
      <c r="G849" s="55"/>
    </row>
    <row r="850" ht="14.25" customHeight="1">
      <c r="G850" s="55"/>
    </row>
    <row r="851" ht="14.25" customHeight="1">
      <c r="G851" s="55"/>
    </row>
    <row r="852" ht="14.25" customHeight="1">
      <c r="G852" s="55"/>
    </row>
    <row r="853" ht="14.25" customHeight="1">
      <c r="G853" s="55"/>
    </row>
    <row r="854" ht="14.25" customHeight="1">
      <c r="G854" s="55"/>
    </row>
    <row r="855" ht="14.25" customHeight="1">
      <c r="G855" s="55"/>
    </row>
    <row r="856" ht="14.25" customHeight="1">
      <c r="G856" s="55"/>
    </row>
    <row r="857" ht="14.25" customHeight="1">
      <c r="G857" s="55"/>
    </row>
    <row r="858" ht="14.25" customHeight="1">
      <c r="G858" s="55"/>
    </row>
    <row r="859" ht="14.25" customHeight="1">
      <c r="G859" s="55"/>
    </row>
    <row r="860" ht="14.25" customHeight="1">
      <c r="G860" s="55"/>
    </row>
    <row r="861" ht="14.25" customHeight="1">
      <c r="G861" s="55"/>
    </row>
    <row r="862" ht="14.25" customHeight="1">
      <c r="G862" s="55"/>
    </row>
    <row r="863" ht="14.25" customHeight="1">
      <c r="G863" s="55"/>
    </row>
    <row r="864" ht="14.25" customHeight="1">
      <c r="G864" s="55"/>
    </row>
    <row r="865" ht="14.25" customHeight="1">
      <c r="G865" s="55"/>
    </row>
    <row r="866" ht="14.25" customHeight="1">
      <c r="G866" s="55"/>
    </row>
    <row r="867" ht="14.25" customHeight="1">
      <c r="G867" s="55"/>
    </row>
    <row r="868" ht="14.25" customHeight="1">
      <c r="G868" s="55"/>
    </row>
    <row r="869" ht="14.25" customHeight="1">
      <c r="G869" s="55"/>
    </row>
    <row r="870" ht="14.25" customHeight="1">
      <c r="G870" s="55"/>
    </row>
    <row r="871" ht="14.25" customHeight="1">
      <c r="G871" s="55"/>
    </row>
    <row r="872" ht="14.25" customHeight="1">
      <c r="G872" s="55"/>
    </row>
    <row r="873" ht="14.25" customHeight="1">
      <c r="G873" s="55"/>
    </row>
    <row r="874" ht="14.25" customHeight="1">
      <c r="G874" s="55"/>
    </row>
    <row r="875" ht="14.25" customHeight="1">
      <c r="G875" s="55"/>
    </row>
    <row r="876" ht="14.25" customHeight="1">
      <c r="G876" s="55"/>
    </row>
    <row r="877" ht="14.25" customHeight="1">
      <c r="G877" s="55"/>
    </row>
    <row r="878" ht="14.25" customHeight="1">
      <c r="G878" s="55"/>
    </row>
    <row r="879" ht="14.25" customHeight="1">
      <c r="G879" s="55"/>
    </row>
    <row r="880" ht="14.25" customHeight="1">
      <c r="G880" s="55"/>
    </row>
    <row r="881" ht="14.25" customHeight="1">
      <c r="G881" s="55"/>
    </row>
    <row r="882" ht="14.25" customHeight="1">
      <c r="G882" s="55"/>
    </row>
    <row r="883" ht="14.25" customHeight="1">
      <c r="G883" s="55"/>
    </row>
    <row r="884" ht="14.25" customHeight="1">
      <c r="G884" s="55"/>
    </row>
    <row r="885" ht="14.25" customHeight="1">
      <c r="G885" s="55"/>
    </row>
    <row r="886" ht="14.25" customHeight="1">
      <c r="G886" s="55"/>
    </row>
    <row r="887" ht="14.25" customHeight="1">
      <c r="G887" s="55"/>
    </row>
    <row r="888" ht="14.25" customHeight="1">
      <c r="G888" s="55"/>
    </row>
    <row r="889" ht="14.25" customHeight="1">
      <c r="G889" s="55"/>
    </row>
    <row r="890" ht="14.25" customHeight="1">
      <c r="G890" s="55"/>
    </row>
    <row r="891" ht="14.25" customHeight="1">
      <c r="G891" s="55"/>
    </row>
    <row r="892" ht="14.25" customHeight="1">
      <c r="G892" s="55"/>
    </row>
    <row r="893" ht="14.25" customHeight="1">
      <c r="G893" s="55"/>
    </row>
    <row r="894" ht="14.25" customHeight="1">
      <c r="G894" s="55"/>
    </row>
    <row r="895" ht="14.25" customHeight="1">
      <c r="G895" s="55"/>
    </row>
    <row r="896" ht="14.25" customHeight="1">
      <c r="G896" s="55"/>
    </row>
    <row r="897" ht="14.25" customHeight="1">
      <c r="G897" s="55"/>
    </row>
    <row r="898" ht="14.25" customHeight="1">
      <c r="G898" s="55"/>
    </row>
    <row r="899" ht="14.25" customHeight="1">
      <c r="G899" s="55"/>
    </row>
    <row r="900" ht="14.25" customHeight="1">
      <c r="G900" s="55"/>
    </row>
    <row r="901" ht="14.25" customHeight="1">
      <c r="G901" s="55"/>
    </row>
    <row r="902" ht="14.25" customHeight="1">
      <c r="G902" s="55"/>
    </row>
    <row r="903" ht="14.25" customHeight="1">
      <c r="G903" s="55"/>
    </row>
    <row r="904" ht="14.25" customHeight="1">
      <c r="G904" s="55"/>
    </row>
    <row r="905" ht="14.25" customHeight="1">
      <c r="G905" s="55"/>
    </row>
    <row r="906" ht="14.25" customHeight="1">
      <c r="G906" s="55"/>
    </row>
    <row r="907" ht="14.25" customHeight="1">
      <c r="G907" s="55"/>
    </row>
    <row r="908" ht="14.25" customHeight="1">
      <c r="G908" s="55"/>
    </row>
  </sheetData>
  <mergeCells count="6">
    <mergeCell ref="F6:G6"/>
    <mergeCell ref="F7:G7"/>
    <mergeCell ref="B9:B12"/>
    <mergeCell ref="B15:B18"/>
    <mergeCell ref="B20:B21"/>
    <mergeCell ref="B48:C48"/>
  </mergeCells>
  <conditionalFormatting sqref="C1">
    <cfRule type="notContainsBlanks" dxfId="8" priority="1">
      <formula>LEN(TRIM(C1))&gt;0</formula>
    </cfRule>
  </conditionalFormatting>
  <dataValidations>
    <dataValidation type="list" allowBlank="1" sqref="C35">
      <formula1>"Gross Margin,Net Margin"</formula1>
    </dataValidation>
    <dataValidation type="list" allowBlank="1" sqref="C3">
      <formula1>"Nómina,Prestación de Servicios,Deel/Ontop"</formula1>
    </dataValidation>
    <dataValidation type="list" allowBlank="1" showErrorMessage="1" sqref="D24:D31">
      <formula1>"Nómina,P. Servicios"</formula1>
    </dataValidation>
    <dataValidation type="list" allowBlank="1" sqref="B24:B31">
      <formula1>'Parámetros'!$A$2:$A$113</formula1>
    </dataValidation>
    <dataValidation type="list" allowBlank="1" sqref="C2">
      <formula1>'Parámetros'!$A$118:$A$123</formula1>
    </dataValidation>
    <dataValidation type="list" allowBlank="1" sqref="D35">
      <formula1>"COP,USD"</formula1>
    </dataValidation>
  </dataValidations>
  <printOptions/>
  <pageMargins bottom="0.75" footer="0.0" header="0.0" left="0.7" right="0.7" top="0.75"/>
  <pageSetup orientation="portrait"/>
  <drawing r:id="rId1"/>
  <tableParts count="3">
    <tablePart r:id="rId5"/>
    <tablePart r:id="rId6"/>
    <tablePart r:id="rId7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4.14"/>
    <col customWidth="1" min="2" max="2" width="32.29"/>
    <col customWidth="1" min="3" max="3" width="23.14"/>
    <col customWidth="1" min="4" max="4" width="16.29"/>
    <col customWidth="1" min="5" max="5" width="14.86"/>
    <col customWidth="1" min="6" max="6" width="18.0"/>
    <col customWidth="1" min="7" max="7" width="16.29"/>
    <col customWidth="1" min="8" max="8" width="15.14"/>
    <col customWidth="1" min="9" max="9" width="12.0"/>
    <col customWidth="1" min="10" max="10" width="26.57"/>
    <col customWidth="1" min="11" max="11" width="14.86"/>
    <col customWidth="1" min="12" max="12" width="14.71"/>
    <col customWidth="1" min="13" max="13" width="17.29"/>
    <col customWidth="1" min="14" max="14" width="15.57"/>
    <col customWidth="1" min="15" max="15" width="10.71"/>
    <col customWidth="1" min="16" max="16" width="23.14"/>
    <col customWidth="1" min="17" max="17" width="17.57"/>
    <col customWidth="1" min="18" max="18" width="15.71"/>
    <col customWidth="1" min="19" max="19" width="18.86"/>
    <col customWidth="1" hidden="1" min="20" max="20" width="13.71"/>
    <col customWidth="1" hidden="1" min="21" max="21" width="13.43"/>
    <col customWidth="1" hidden="1" min="22" max="32" width="10.71"/>
  </cols>
  <sheetData>
    <row r="1" ht="8.25" customHeight="1">
      <c r="A1" s="200"/>
      <c r="B1" s="200"/>
      <c r="C1" s="200"/>
      <c r="D1" s="200"/>
      <c r="E1" s="200"/>
      <c r="F1" s="200"/>
      <c r="G1" s="201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</row>
    <row r="2" ht="15.75" customHeight="1">
      <c r="A2" s="200"/>
      <c r="B2" s="202" t="s">
        <v>150</v>
      </c>
      <c r="C2" s="203" t="s">
        <v>93</v>
      </c>
      <c r="D2" s="16"/>
      <c r="E2" s="200"/>
      <c r="F2" s="200"/>
      <c r="G2" s="205"/>
      <c r="H2" s="206"/>
      <c r="I2" s="206"/>
      <c r="J2" s="207"/>
      <c r="K2" s="206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0"/>
      <c r="AD2" s="200"/>
      <c r="AE2" s="200"/>
      <c r="AF2" s="200"/>
    </row>
    <row r="3" ht="15.75" customHeight="1">
      <c r="A3" s="200"/>
      <c r="B3" s="202" t="s">
        <v>25</v>
      </c>
      <c r="C3" s="208" t="s">
        <v>151</v>
      </c>
      <c r="D3" s="16"/>
      <c r="E3" s="200"/>
      <c r="F3" s="209"/>
      <c r="G3" s="210"/>
      <c r="H3" s="200"/>
      <c r="I3" s="200"/>
      <c r="J3" s="211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200"/>
    </row>
    <row r="4" ht="15.75" customHeight="1">
      <c r="A4" s="200"/>
      <c r="B4" s="202" t="s">
        <v>27</v>
      </c>
      <c r="C4" s="307">
        <f>VLOOKUP(C2,'Parámetros'!$A$118:$B$124,2,0)*IF(C3="Nómina",1.38522,IF(C3="Prestación de Servicios",1,1.15))</f>
        <v>0.09775</v>
      </c>
      <c r="D4" s="16"/>
      <c r="E4" s="200"/>
      <c r="H4" s="200"/>
      <c r="I4" s="200"/>
      <c r="J4" s="211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200"/>
      <c r="AE4" s="200"/>
      <c r="AF4" s="200"/>
    </row>
    <row r="5" ht="15.75" customHeight="1">
      <c r="A5" s="200"/>
      <c r="B5" s="202" t="s">
        <v>28</v>
      </c>
      <c r="C5" s="218">
        <v>0.0</v>
      </c>
      <c r="D5" s="16"/>
      <c r="E5" s="200"/>
      <c r="F5" s="219" t="s">
        <v>155</v>
      </c>
      <c r="G5" s="220">
        <f>VLOOKUP($C$2,'Parámetros'!$A$118:$D$124,3,0)</f>
        <v>0.3</v>
      </c>
      <c r="H5" s="200"/>
      <c r="I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200"/>
      <c r="AE5" s="200"/>
      <c r="AF5" s="200"/>
    </row>
    <row r="6" ht="15.75" customHeight="1">
      <c r="A6" s="200"/>
      <c r="B6" s="202" t="s">
        <v>157</v>
      </c>
      <c r="C6" s="222"/>
      <c r="D6" s="16"/>
      <c r="E6" s="200"/>
      <c r="F6" s="221" t="str">
        <f>IF(D10&gt;=G5,"Dentro del margen","¡Por debajo del margen!")</f>
        <v>Dentro del margen</v>
      </c>
      <c r="H6" s="200"/>
      <c r="I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0"/>
      <c r="AA6" s="200"/>
      <c r="AB6" s="200"/>
      <c r="AC6" s="200"/>
      <c r="AD6" s="200"/>
      <c r="AE6" s="200"/>
      <c r="AF6" s="200"/>
    </row>
    <row r="7" ht="15.75" customHeight="1">
      <c r="A7" s="200"/>
      <c r="B7" s="202" t="s">
        <v>158</v>
      </c>
      <c r="C7" s="208">
        <v>1.0</v>
      </c>
      <c r="D7" s="16"/>
      <c r="E7" s="200"/>
      <c r="H7" s="223"/>
      <c r="I7" s="223"/>
      <c r="J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  <c r="AA7" s="200"/>
      <c r="AB7" s="200"/>
      <c r="AC7" s="200"/>
      <c r="AD7" s="200"/>
      <c r="AE7" s="200"/>
      <c r="AF7" s="200"/>
    </row>
    <row r="8" ht="15.75" customHeight="1">
      <c r="A8" s="200"/>
      <c r="B8" s="224"/>
      <c r="C8" s="16"/>
      <c r="D8" s="16"/>
      <c r="E8" s="200"/>
      <c r="F8" s="202" t="s">
        <v>44</v>
      </c>
      <c r="G8" s="225" t="s">
        <v>45</v>
      </c>
      <c r="H8" s="223"/>
      <c r="I8" s="223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200"/>
      <c r="AC8" s="200"/>
      <c r="AD8" s="200"/>
      <c r="AE8" s="200"/>
      <c r="AF8" s="200"/>
    </row>
    <row r="9" ht="13.5" customHeight="1">
      <c r="B9" s="226" t="s">
        <v>7</v>
      </c>
      <c r="C9" s="17" t="s">
        <v>6</v>
      </c>
      <c r="D9" s="227"/>
      <c r="E9" s="228" t="s">
        <v>194</v>
      </c>
      <c r="F9" s="320">
        <f>(C53+C49+C51)/((1-D10-'Parámetros'!L8*C5))</f>
        <v>1513907.143</v>
      </c>
      <c r="G9" s="321">
        <f>F9/'Parámetros'!$L$3</f>
        <v>426.4527163</v>
      </c>
      <c r="H9" s="211"/>
      <c r="I9" s="23"/>
      <c r="M9" s="23"/>
      <c r="N9" s="24"/>
      <c r="O9" s="24"/>
    </row>
    <row r="10" ht="15.0" customHeight="1">
      <c r="B10" s="27"/>
      <c r="C10" s="17" t="s">
        <v>9</v>
      </c>
      <c r="D10" s="231">
        <v>0.3</v>
      </c>
      <c r="E10" s="228" t="s">
        <v>195</v>
      </c>
      <c r="F10" s="320">
        <f>F9/C7</f>
        <v>1513907.143</v>
      </c>
      <c r="G10" s="321">
        <f>F10/'Parámetros'!$L$3</f>
        <v>426.4527163</v>
      </c>
      <c r="M10" s="23"/>
      <c r="N10" s="24"/>
      <c r="O10" s="24"/>
    </row>
    <row r="11" ht="17.25" customHeight="1">
      <c r="B11" s="27"/>
      <c r="C11" s="17" t="s">
        <v>15</v>
      </c>
      <c r="D11" s="227">
        <f>F9*'Parámetros'!L5</f>
        <v>10445.95929</v>
      </c>
      <c r="E11" s="228" t="s">
        <v>197</v>
      </c>
      <c r="F11" s="320">
        <f>F9/SUM(D38:D44)</f>
        <v>5426.190476</v>
      </c>
      <c r="G11" s="321">
        <f>G9/SUM(D38:D44)</f>
        <v>1.528504359</v>
      </c>
      <c r="L11" s="22"/>
      <c r="O11" s="28"/>
      <c r="P11" s="28"/>
      <c r="Q11" s="28"/>
    </row>
    <row r="12" ht="14.25" customHeight="1">
      <c r="B12" s="43"/>
      <c r="C12" s="17" t="s">
        <v>18</v>
      </c>
      <c r="D12" s="240">
        <f>(F9-C54-D11-D9-C5*'Parámetros'!L8*F9)/F9</f>
        <v>0.2931</v>
      </c>
      <c r="G12" s="55"/>
      <c r="L12" s="32"/>
      <c r="M12" s="33"/>
      <c r="O12" s="28"/>
      <c r="P12" s="28"/>
      <c r="Q12" s="28"/>
    </row>
    <row r="13" ht="14.25" customHeight="1">
      <c r="D13" s="235"/>
      <c r="F13" s="236"/>
      <c r="G13" s="55"/>
      <c r="H13" s="237"/>
      <c r="I13" s="237"/>
      <c r="J13" s="237"/>
      <c r="L13" s="32"/>
      <c r="M13" s="37"/>
      <c r="N13" s="38"/>
      <c r="O13" s="39"/>
    </row>
    <row r="14" ht="14.25" customHeight="1">
      <c r="F14" s="236"/>
      <c r="G14" s="55"/>
      <c r="L14" s="22"/>
    </row>
    <row r="15" ht="15.75" customHeight="1">
      <c r="B15" s="226" t="s">
        <v>22</v>
      </c>
      <c r="C15" s="17" t="s">
        <v>6</v>
      </c>
      <c r="D15" s="227"/>
      <c r="E15" s="228" t="s">
        <v>194</v>
      </c>
      <c r="F15" s="320">
        <f>+(C54/(1-C4-D16-'Parámetros'!L5-C5*'Parámetros'!L8))</f>
        <v>1780020.156</v>
      </c>
      <c r="G15" s="321">
        <f>F15/'Parámetros'!L3</f>
        <v>501.4141285</v>
      </c>
      <c r="L15" s="22"/>
    </row>
    <row r="16" ht="16.5" customHeight="1">
      <c r="B16" s="27"/>
      <c r="C16" s="17" t="s">
        <v>18</v>
      </c>
      <c r="D16" s="231">
        <v>0.3</v>
      </c>
      <c r="E16" s="228" t="s">
        <v>195</v>
      </c>
      <c r="F16" s="320">
        <f>F15/C7</f>
        <v>1780020.156</v>
      </c>
      <c r="G16" s="321">
        <f>G15/C7</f>
        <v>501.4141285</v>
      </c>
      <c r="L16" s="32"/>
      <c r="M16" s="33"/>
    </row>
    <row r="17" ht="17.25" customHeight="1">
      <c r="B17" s="27"/>
      <c r="C17" s="17" t="s">
        <v>15</v>
      </c>
      <c r="D17" s="227">
        <f>F15*'Parámetros'!L5</f>
        <v>12282.13908</v>
      </c>
      <c r="E17" s="228" t="s">
        <v>197</v>
      </c>
      <c r="F17" s="320">
        <f>F15/SUM(D38:D44)</f>
        <v>6380.00056</v>
      </c>
      <c r="G17" s="321">
        <f>G15/SUM(D38:D44)</f>
        <v>1.797183256</v>
      </c>
      <c r="L17" s="22"/>
      <c r="M17" s="55"/>
    </row>
    <row r="18" ht="14.25" customHeight="1">
      <c r="B18" s="43"/>
      <c r="C18" s="17" t="s">
        <v>9</v>
      </c>
      <c r="D18" s="240">
        <f>(F15-C49-C51-C53-C5*'Parámetros'!L8*F15)/F15</f>
        <v>0.40465</v>
      </c>
      <c r="E18" s="241"/>
      <c r="G18" s="55"/>
    </row>
    <row r="19" ht="14.25" customHeight="1">
      <c r="G19" s="55"/>
    </row>
    <row r="20" ht="14.25" customHeight="1">
      <c r="B20" s="243" t="str">
        <f>'Parámetros'!B149</f>
        <v>Considerar como mínimo por cada Dev: 
 PM:33%, QA:20%, Diseño:10%</v>
      </c>
      <c r="C20" s="244"/>
      <c r="G20" s="55"/>
      <c r="M20" s="245"/>
    </row>
    <row r="21" ht="15.75" customHeight="1">
      <c r="B21" s="246"/>
      <c r="C21" s="244"/>
      <c r="G21" s="55"/>
    </row>
    <row r="22" ht="15.75" customHeight="1">
      <c r="E22" s="332">
        <f>SUM(E24:E31)*C7*100%</f>
        <v>1.55</v>
      </c>
      <c r="G22" s="248"/>
    </row>
    <row r="23" ht="14.25" customHeight="1">
      <c r="B23" s="249" t="s">
        <v>31</v>
      </c>
      <c r="C23" s="249" t="s">
        <v>32</v>
      </c>
      <c r="D23" s="249" t="s">
        <v>33</v>
      </c>
      <c r="E23" s="250" t="s">
        <v>35</v>
      </c>
      <c r="F23" s="249" t="s">
        <v>202</v>
      </c>
      <c r="G23" s="333" t="s">
        <v>37</v>
      </c>
      <c r="H23" s="334"/>
      <c r="I23" s="146"/>
      <c r="J23" s="146"/>
      <c r="L23" s="67"/>
    </row>
    <row r="24" ht="14.25" customHeight="1">
      <c r="A24" s="251">
        <f>IFERROR(__xludf.DUMMYFUNCTION("COUNTIF(SPLIT(B24,"" ""),""Developer"")"),0.0)</f>
        <v>0</v>
      </c>
      <c r="B24" s="304" t="s">
        <v>210</v>
      </c>
      <c r="C24" s="68" t="str">
        <f>IFERROR(VLOOKUP(B24,'Parámetros'!A$1:B113,2, FALSE),"")</f>
        <v/>
      </c>
      <c r="D24" s="208" t="s">
        <v>41</v>
      </c>
      <c r="E24" s="258">
        <v>1.0</v>
      </c>
      <c r="F24" s="68">
        <f t="shared" ref="F24:F31" si="1">+IFERROR(IF(D24="Nómina",C24*1.38352,C24),"")*E24*$C$7*105%</f>
        <v>0</v>
      </c>
      <c r="G24" s="335">
        <f>F24/(AVERAGE('Parámetros'!$F$5:$F$6)+$F$32)</f>
        <v>0</v>
      </c>
      <c r="H24" s="336"/>
      <c r="I24" s="146"/>
      <c r="J24" s="146"/>
      <c r="L24" s="73"/>
    </row>
    <row r="25" ht="14.25" customHeight="1">
      <c r="A25" s="251">
        <f>IFERROR(__xludf.DUMMYFUNCTION("COUNTIF(SPLIT(B25,"" ""),""Developer"")"),0.0)</f>
        <v>0</v>
      </c>
      <c r="B25" s="304"/>
      <c r="C25" s="68" t="str">
        <f>IFERROR(VLOOKUP(B25,'Parámetros'!A$1:B113,2, FALSE),"")</f>
        <v/>
      </c>
      <c r="D25" s="208" t="s">
        <v>41</v>
      </c>
      <c r="E25" s="258">
        <v>0.25</v>
      </c>
      <c r="F25" s="68">
        <f t="shared" si="1"/>
        <v>0</v>
      </c>
      <c r="G25" s="335">
        <f>F25/(AVERAGE('Parámetros'!$F$5:$F$6)+$F$32)</f>
        <v>0</v>
      </c>
      <c r="H25" s="336"/>
      <c r="I25" s="146"/>
      <c r="J25" s="146"/>
      <c r="L25" s="73"/>
      <c r="R25" s="74"/>
    </row>
    <row r="26" ht="14.25" customHeight="1">
      <c r="A26" s="251">
        <f>IFERROR(__xludf.DUMMYFUNCTION("COUNTIF(SPLIT(B26,"" ""),""Developer"")"),0.0)</f>
        <v>0</v>
      </c>
      <c r="B26" s="304"/>
      <c r="C26" s="68" t="str">
        <f>IFERROR(VLOOKUP(B26,'Parámetros'!A$1:B113,2, FALSE),"")</f>
        <v/>
      </c>
      <c r="D26" s="208" t="s">
        <v>41</v>
      </c>
      <c r="E26" s="258">
        <v>0.2</v>
      </c>
      <c r="F26" s="68">
        <f t="shared" si="1"/>
        <v>0</v>
      </c>
      <c r="G26" s="335">
        <f>F26/(AVERAGE('Parámetros'!$F$5:$F$6)+$F$32)</f>
        <v>0</v>
      </c>
      <c r="H26" s="336"/>
      <c r="I26" s="146"/>
      <c r="J26" s="146"/>
      <c r="L26" s="73"/>
    </row>
    <row r="27" ht="14.25" customHeight="1">
      <c r="A27" s="251">
        <f>IFERROR(__xludf.DUMMYFUNCTION("COUNTIF(SPLIT(B27,"" ""),""Developer"")"),0.0)</f>
        <v>0</v>
      </c>
      <c r="B27" s="304"/>
      <c r="C27" s="68" t="str">
        <f>IFERROR(VLOOKUP(B27,'Parámetros'!A$1:B114,2, FALSE),"")</f>
        <v/>
      </c>
      <c r="D27" s="208" t="s">
        <v>41</v>
      </c>
      <c r="E27" s="352">
        <v>0.1</v>
      </c>
      <c r="F27" s="68">
        <f t="shared" si="1"/>
        <v>0</v>
      </c>
      <c r="G27" s="335">
        <f>F27/(AVERAGE('Parámetros'!$F$5:$F$6)+$F$32)</f>
        <v>0</v>
      </c>
      <c r="H27" s="336"/>
      <c r="I27" s="146"/>
      <c r="J27" s="146"/>
      <c r="L27" s="73"/>
    </row>
    <row r="28" ht="14.25" customHeight="1">
      <c r="A28" s="251">
        <f>IFERROR(__xludf.DUMMYFUNCTION("COUNTIF(SPLIT(B28,"" ""),""Developer"")"),0.0)</f>
        <v>0</v>
      </c>
      <c r="B28" s="304"/>
      <c r="C28" s="68" t="str">
        <f>IFERROR(VLOOKUP(B28,'Parámetros'!A$1:B115,2, FALSE),"")</f>
        <v/>
      </c>
      <c r="D28" s="208" t="s">
        <v>41</v>
      </c>
      <c r="E28" s="258"/>
      <c r="F28" s="68">
        <f t="shared" si="1"/>
        <v>0</v>
      </c>
      <c r="G28" s="335">
        <f>F28/(AVERAGE('Parámetros'!$F$5:$F$6)+$F$32)</f>
        <v>0</v>
      </c>
      <c r="H28" s="336"/>
      <c r="I28" s="146"/>
      <c r="J28" s="146"/>
      <c r="L28" s="73"/>
    </row>
    <row r="29" ht="14.25" customHeight="1">
      <c r="A29" s="251">
        <f>IFERROR(__xludf.DUMMYFUNCTION("COUNTIF(SPLIT(B29,"" ""),""Developer"")"),0.0)</f>
        <v>0</v>
      </c>
      <c r="B29" s="304"/>
      <c r="C29" s="68" t="str">
        <f>IFERROR(VLOOKUP(B29,'Parámetros'!A$1:B116,2, FALSE),"")</f>
        <v/>
      </c>
      <c r="D29" s="208" t="s">
        <v>41</v>
      </c>
      <c r="E29" s="258"/>
      <c r="F29" s="68">
        <f t="shared" si="1"/>
        <v>0</v>
      </c>
      <c r="G29" s="335">
        <f>F29/(AVERAGE('Parámetros'!$F$5:$F$6)+$F$32)</f>
        <v>0</v>
      </c>
      <c r="H29" s="336"/>
      <c r="I29" s="146"/>
      <c r="J29" s="146"/>
      <c r="K29" s="146"/>
    </row>
    <row r="30" ht="14.25" customHeight="1">
      <c r="A30" s="251">
        <f>IFERROR(__xludf.DUMMYFUNCTION("COUNTIF(SPLIT(B30,"" ""),""Developer"")"),0.0)</f>
        <v>0</v>
      </c>
      <c r="B30" s="304"/>
      <c r="C30" s="68" t="str">
        <f>IFERROR(VLOOKUP(B30,'Parámetros'!A$1:B117,2, FALSE),"")</f>
        <v/>
      </c>
      <c r="D30" s="208" t="s">
        <v>41</v>
      </c>
      <c r="E30" s="258"/>
      <c r="F30" s="68">
        <f t="shared" si="1"/>
        <v>0</v>
      </c>
      <c r="G30" s="335">
        <f>F30/(AVERAGE('Parámetros'!$F$5:$F$6)+$F$32)</f>
        <v>0</v>
      </c>
      <c r="H30" s="336"/>
      <c r="I30" s="146"/>
      <c r="J30" s="146"/>
      <c r="K30" s="146"/>
    </row>
    <row r="31" ht="14.25" customHeight="1">
      <c r="A31" s="251">
        <f>IFERROR(__xludf.DUMMYFUNCTION("COUNTIF(SPLIT(B31,"" ""),""Developer"")"),0.0)</f>
        <v>0</v>
      </c>
      <c r="B31" s="304"/>
      <c r="C31" s="68" t="str">
        <f>iferror(VLOOKUP(B31,'Parámetros'!A$1:B127,2, FALSE),"")</f>
        <v/>
      </c>
      <c r="D31" s="208" t="s">
        <v>41</v>
      </c>
      <c r="E31" s="258"/>
      <c r="F31" s="68">
        <f t="shared" si="1"/>
        <v>0</v>
      </c>
      <c r="G31" s="335">
        <f>F31/(AVERAGE('Parámetros'!$F$5:$F$6)+$F$32)</f>
        <v>0</v>
      </c>
      <c r="H31" s="336"/>
      <c r="I31" s="146"/>
      <c r="J31" s="146"/>
      <c r="K31" s="146"/>
    </row>
    <row r="32" ht="14.25" customHeight="1">
      <c r="F32" s="259">
        <f t="shared" ref="F32:G32" si="2">SUM(F24:F31)</f>
        <v>0</v>
      </c>
      <c r="G32" s="337">
        <f t="shared" si="2"/>
        <v>0</v>
      </c>
      <c r="H32" s="338"/>
      <c r="M32" s="90"/>
      <c r="N32" s="91"/>
      <c r="O32" s="92"/>
      <c r="P32" s="93"/>
      <c r="Q32" s="94"/>
    </row>
    <row r="33" ht="14.25" customHeight="1">
      <c r="G33" s="55"/>
    </row>
    <row r="34" ht="14.25" customHeight="1">
      <c r="G34" s="55"/>
    </row>
    <row r="35" ht="14.25" customHeight="1">
      <c r="C35" s="261" t="s">
        <v>9</v>
      </c>
      <c r="D35" s="261" t="s">
        <v>45</v>
      </c>
      <c r="G35" s="55"/>
    </row>
    <row r="36" ht="14.25" customHeight="1">
      <c r="F36" s="97"/>
      <c r="G36" s="55"/>
    </row>
    <row r="37" ht="14.25" customHeight="1">
      <c r="B37" s="262" t="s">
        <v>31</v>
      </c>
      <c r="C37" s="261" t="s">
        <v>35</v>
      </c>
      <c r="D37" s="291" t="s">
        <v>48</v>
      </c>
      <c r="E37" s="292" t="s">
        <v>50</v>
      </c>
      <c r="F37" s="292" t="s">
        <v>159</v>
      </c>
      <c r="G37" s="55"/>
    </row>
    <row r="38" ht="14.25" customHeight="1">
      <c r="B38" s="264" t="str">
        <f t="shared" ref="B38:B44" si="3">B24</f>
        <v>Karol Dayanna Contreras Calderon</v>
      </c>
      <c r="C38" s="265">
        <f t="shared" ref="C38:C44" si="4">E24</f>
        <v>1</v>
      </c>
      <c r="D38" s="268">
        <f t="shared" ref="D38:D44" si="5">C38*180</f>
        <v>180</v>
      </c>
      <c r="E38" s="267">
        <f>IFERROR((IF($C$35="Gross Margin",F24/$F$32*$F$9,IF($C$35="Net Margin",F24/$F$32*$F$15,"Error")))/D38,"")/IF($D$35="USD",'Parámetros'!$L$3,1)</f>
        <v>0</v>
      </c>
      <c r="F38" s="267">
        <f t="shared" ref="F38:F44" si="6">E38*D38</f>
        <v>0</v>
      </c>
      <c r="G38" s="55"/>
    </row>
    <row r="39" ht="14.25" customHeight="1">
      <c r="B39" s="264" t="str">
        <f t="shared" si="3"/>
        <v/>
      </c>
      <c r="C39" s="265">
        <f t="shared" si="4"/>
        <v>0.25</v>
      </c>
      <c r="D39" s="268">
        <f t="shared" si="5"/>
        <v>45</v>
      </c>
      <c r="E39" s="267">
        <f>IFERROR((IF($C$35="Gross Margin",F25/$F$32*$F$9,IF($C$35="Net Margin",F25/$F$32*$F$15,"Error")))/D39,"")/IF($D$35="USD",'Parámetros'!$L$3,1)</f>
        <v>0</v>
      </c>
      <c r="F39" s="267">
        <f t="shared" si="6"/>
        <v>0</v>
      </c>
      <c r="G39" s="55"/>
    </row>
    <row r="40" ht="14.25" customHeight="1">
      <c r="B40" s="264" t="str">
        <f t="shared" si="3"/>
        <v/>
      </c>
      <c r="C40" s="265">
        <f t="shared" si="4"/>
        <v>0.2</v>
      </c>
      <c r="D40" s="268">
        <f t="shared" si="5"/>
        <v>36</v>
      </c>
      <c r="E40" s="267">
        <f>IFERROR((IF($C$35="Gross Margin",F26/$F$32*$F$9,IF($C$35="Net Margin",F26/$F$32*$F$15,"Error")))/D40,"")/IF($D$35="USD",'Parámetros'!$L$3,1)</f>
        <v>0</v>
      </c>
      <c r="F40" s="267">
        <f t="shared" si="6"/>
        <v>0</v>
      </c>
      <c r="G40" s="23"/>
    </row>
    <row r="41" ht="14.25" customHeight="1">
      <c r="B41" s="264" t="str">
        <f t="shared" si="3"/>
        <v/>
      </c>
      <c r="C41" s="265">
        <f t="shared" si="4"/>
        <v>0.1</v>
      </c>
      <c r="D41" s="268">
        <f t="shared" si="5"/>
        <v>18</v>
      </c>
      <c r="E41" s="267">
        <f>IFERROR((IF($C$35="Gross Margin",F27/$F$32*$F$9,IF($C$35="Net Margin",F27/$F$32*$F$15,"Error")))/D41,"")/IF($D$35="USD",'Parámetros'!$L$3,1)</f>
        <v>0</v>
      </c>
      <c r="F41" s="267">
        <f t="shared" si="6"/>
        <v>0</v>
      </c>
      <c r="G41" s="23"/>
    </row>
    <row r="42" ht="14.25" customHeight="1">
      <c r="B42" s="264" t="str">
        <f t="shared" si="3"/>
        <v/>
      </c>
      <c r="C42" s="265" t="str">
        <f t="shared" si="4"/>
        <v/>
      </c>
      <c r="D42" s="268">
        <f t="shared" si="5"/>
        <v>0</v>
      </c>
      <c r="E42" s="267">
        <f>IFERROR((IF($C$35="Gross Margin",F28/$F$32*$F$9,IF($C$35="Net Margin",F28/$F$32*$F$15,"Error")))/D42,"")/IF($D$35="USD",'Parámetros'!$L$3,1)</f>
        <v>0</v>
      </c>
      <c r="F42" s="267">
        <f t="shared" si="6"/>
        <v>0</v>
      </c>
      <c r="G42" s="55"/>
    </row>
    <row r="43" ht="14.25" customHeight="1">
      <c r="B43" s="264" t="str">
        <f t="shared" si="3"/>
        <v/>
      </c>
      <c r="C43" s="265" t="str">
        <f t="shared" si="4"/>
        <v/>
      </c>
      <c r="D43" s="268">
        <f t="shared" si="5"/>
        <v>0</v>
      </c>
      <c r="E43" s="267">
        <f>IFERROR((IF($C$35="Gross Margin",F29/$F$32*$F$9,IF($C$35="Net Margin",F29/$F$32*$F$15,"Error")))/D43,"")/IF($D$35="USD",'Parámetros'!$L$3,1)</f>
        <v>0</v>
      </c>
      <c r="F43" s="267">
        <f t="shared" si="6"/>
        <v>0</v>
      </c>
      <c r="G43" s="55"/>
    </row>
    <row r="44" ht="14.25" customHeight="1">
      <c r="B44" s="264" t="str">
        <f t="shared" si="3"/>
        <v/>
      </c>
      <c r="C44" s="265" t="str">
        <f t="shared" si="4"/>
        <v/>
      </c>
      <c r="D44" s="268">
        <f t="shared" si="5"/>
        <v>0</v>
      </c>
      <c r="E44" s="267">
        <f>IFERROR((IF($C$35="Gross Margin",F30/$F$32*$F$9,IF($C$35="Net Margin",F30/$F$32*$F$15,"Error")))/D44,"")/IF($D$35="USD",'Parámetros'!$L$3,1)</f>
        <v>0</v>
      </c>
      <c r="F44" s="267">
        <f t="shared" si="6"/>
        <v>0</v>
      </c>
      <c r="G44" s="55"/>
    </row>
    <row r="45" ht="14.25" customHeight="1">
      <c r="G45" s="55"/>
    </row>
    <row r="46" ht="14.25" customHeight="1">
      <c r="G46" s="55"/>
    </row>
    <row r="47" ht="14.25" customHeight="1">
      <c r="G47" s="55"/>
    </row>
    <row r="48" ht="14.25" customHeight="1">
      <c r="B48" s="339" t="s">
        <v>11</v>
      </c>
      <c r="C48" s="340"/>
      <c r="D48" s="341"/>
      <c r="G48" s="55"/>
    </row>
    <row r="49" ht="14.25" customHeight="1" outlineLevel="1">
      <c r="A49" s="33"/>
      <c r="B49" s="342" t="s">
        <v>14</v>
      </c>
      <c r="C49" s="343">
        <f>F32</f>
        <v>0</v>
      </c>
      <c r="D49" s="287"/>
      <c r="E49" s="33"/>
      <c r="F49" s="33"/>
      <c r="G49" s="37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</row>
    <row r="50" ht="14.25" customHeight="1" outlineLevel="1">
      <c r="A50" s="33"/>
      <c r="B50" s="344" t="s">
        <v>17</v>
      </c>
      <c r="C50" s="345">
        <f>C52+C53+C51</f>
        <v>1059735</v>
      </c>
      <c r="D50" s="287"/>
      <c r="E50" s="33"/>
      <c r="F50" s="33"/>
      <c r="G50" s="37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</row>
    <row r="51" ht="14.25" customHeight="1" outlineLevel="1">
      <c r="B51" s="346" t="s">
        <v>19</v>
      </c>
      <c r="C51" s="347">
        <f>IF(((C53+C49)/(1-G5-'Parámetros'!L8*C5))&gt;='Parámetros'!C148,'Parámetros'!B132*SUM(E24:E32),'Parámetros'!C132*SUM(E24:E32)*C7)</f>
        <v>1059735</v>
      </c>
      <c r="D51" s="146"/>
      <c r="G51" s="55"/>
    </row>
    <row r="52" ht="14.25" customHeight="1" outlineLevel="1">
      <c r="B52" s="348" t="s">
        <v>20</v>
      </c>
      <c r="C52" s="349">
        <f>G32*AVERAGE('Parámetros'!G5:G7)*IF(C2="Network",15%,100%)*IF(C2="Enterprise",40%,100%)</f>
        <v>0</v>
      </c>
      <c r="D52" s="350"/>
      <c r="G52" s="55"/>
    </row>
    <row r="53" ht="14.25" customHeight="1" outlineLevel="1">
      <c r="B53" s="346" t="s">
        <v>21</v>
      </c>
      <c r="C53" s="347">
        <f>G32*AVERAGE('Parámetros'!H5:H7)*IF(C2="Network",15%,100%)</f>
        <v>0</v>
      </c>
      <c r="D53" s="350"/>
      <c r="G53" s="55"/>
    </row>
    <row r="54" ht="14.25" customHeight="1">
      <c r="B54" s="351" t="s">
        <v>23</v>
      </c>
      <c r="C54" s="345">
        <f>C49+C50</f>
        <v>1059735</v>
      </c>
      <c r="D54" s="287"/>
      <c r="G54" s="55"/>
    </row>
    <row r="55" ht="14.25" customHeight="1">
      <c r="D55" s="146"/>
      <c r="G55" s="55"/>
    </row>
    <row r="56">
      <c r="D56" s="146"/>
      <c r="G56" s="55"/>
    </row>
    <row r="57" ht="14.25" customHeight="1">
      <c r="G57" s="55"/>
    </row>
    <row r="58" ht="14.25" customHeight="1">
      <c r="G58" s="55"/>
    </row>
    <row r="59" ht="14.25" customHeight="1">
      <c r="G59" s="55"/>
    </row>
    <row r="60" ht="14.25" customHeight="1">
      <c r="G60" s="55"/>
    </row>
    <row r="61" ht="14.25" customHeight="1">
      <c r="G61" s="55"/>
    </row>
    <row r="62" ht="14.25" customHeight="1">
      <c r="G62" s="55"/>
    </row>
    <row r="63" ht="14.25" customHeight="1">
      <c r="G63" s="55"/>
    </row>
    <row r="64" ht="14.25" customHeight="1">
      <c r="G64" s="55"/>
    </row>
    <row r="65" ht="14.25" customHeight="1">
      <c r="G65" s="55"/>
    </row>
    <row r="66" ht="14.25" customHeight="1">
      <c r="G66" s="55"/>
    </row>
    <row r="67" ht="14.25" customHeight="1">
      <c r="G67" s="55"/>
    </row>
    <row r="68" ht="14.25" customHeight="1">
      <c r="G68" s="55"/>
    </row>
    <row r="69" ht="14.25" customHeight="1">
      <c r="G69" s="55"/>
    </row>
    <row r="70" ht="14.25" customHeight="1">
      <c r="G70" s="55"/>
    </row>
    <row r="71" ht="14.25" customHeight="1">
      <c r="G71" s="55"/>
    </row>
    <row r="72" ht="14.25" customHeight="1">
      <c r="G72" s="55"/>
    </row>
    <row r="73" ht="14.25" customHeight="1">
      <c r="G73" s="55"/>
    </row>
    <row r="74" ht="14.25" customHeight="1">
      <c r="G74" s="55"/>
    </row>
    <row r="75" ht="14.25" customHeight="1">
      <c r="G75" s="55"/>
    </row>
    <row r="76" ht="14.25" customHeight="1">
      <c r="G76" s="55"/>
    </row>
    <row r="77" ht="14.25" customHeight="1">
      <c r="G77" s="55"/>
    </row>
    <row r="78" ht="14.25" customHeight="1">
      <c r="G78" s="55"/>
    </row>
    <row r="79" ht="14.25" customHeight="1">
      <c r="G79" s="55"/>
    </row>
    <row r="80" ht="14.25" customHeight="1">
      <c r="G80" s="55"/>
    </row>
    <row r="81" ht="14.25" customHeight="1">
      <c r="G81" s="55"/>
    </row>
    <row r="82" ht="14.25" customHeight="1">
      <c r="G82" s="55"/>
    </row>
    <row r="83" ht="14.25" customHeight="1">
      <c r="G83" s="55"/>
    </row>
    <row r="84" ht="14.25" customHeight="1">
      <c r="G84" s="55"/>
    </row>
    <row r="85" ht="14.25" customHeight="1">
      <c r="G85" s="55"/>
    </row>
    <row r="86" ht="14.25" customHeight="1">
      <c r="G86" s="55"/>
    </row>
    <row r="87" ht="14.25" customHeight="1">
      <c r="G87" s="55"/>
    </row>
    <row r="88" ht="14.25" customHeight="1">
      <c r="G88" s="55"/>
    </row>
    <row r="89" ht="14.25" customHeight="1">
      <c r="G89" s="55"/>
    </row>
    <row r="90" ht="14.25" customHeight="1">
      <c r="G90" s="55"/>
    </row>
    <row r="91" ht="14.25" customHeight="1">
      <c r="G91" s="55"/>
    </row>
    <row r="92" ht="14.25" customHeight="1">
      <c r="G92" s="55"/>
    </row>
    <row r="93" ht="14.25" customHeight="1">
      <c r="G93" s="55"/>
    </row>
    <row r="94" ht="14.25" customHeight="1">
      <c r="G94" s="55"/>
    </row>
    <row r="95" ht="14.25" customHeight="1">
      <c r="G95" s="55"/>
    </row>
    <row r="96" ht="14.25" customHeight="1">
      <c r="G96" s="55"/>
    </row>
    <row r="97" ht="14.25" customHeight="1">
      <c r="G97" s="55"/>
    </row>
    <row r="98" ht="14.25" customHeight="1">
      <c r="G98" s="55"/>
    </row>
    <row r="99" ht="14.25" customHeight="1">
      <c r="G99" s="55"/>
    </row>
    <row r="100" ht="14.25" customHeight="1">
      <c r="G100" s="55"/>
    </row>
    <row r="101" ht="14.25" customHeight="1">
      <c r="G101" s="55"/>
    </row>
    <row r="102" ht="14.25" customHeight="1">
      <c r="G102" s="55"/>
    </row>
    <row r="103" ht="14.25" customHeight="1">
      <c r="G103" s="55"/>
    </row>
    <row r="104" ht="14.25" customHeight="1">
      <c r="G104" s="55"/>
    </row>
    <row r="105" ht="14.25" customHeight="1">
      <c r="G105" s="55"/>
    </row>
    <row r="106" ht="14.25" customHeight="1">
      <c r="G106" s="55"/>
    </row>
    <row r="107" ht="14.25" customHeight="1">
      <c r="G107" s="55"/>
    </row>
    <row r="108" ht="14.25" customHeight="1">
      <c r="G108" s="55"/>
    </row>
    <row r="109" ht="14.25" customHeight="1">
      <c r="G109" s="55"/>
    </row>
    <row r="110" ht="14.25" customHeight="1">
      <c r="G110" s="55"/>
    </row>
    <row r="111" ht="14.25" customHeight="1">
      <c r="G111" s="55"/>
    </row>
    <row r="112" ht="14.25" customHeight="1">
      <c r="G112" s="55"/>
    </row>
    <row r="113" ht="14.25" customHeight="1">
      <c r="G113" s="55"/>
    </row>
    <row r="114" ht="14.25" customHeight="1">
      <c r="G114" s="55"/>
    </row>
    <row r="115" ht="14.25" customHeight="1">
      <c r="G115" s="55"/>
    </row>
    <row r="116" ht="14.25" customHeight="1">
      <c r="G116" s="55"/>
    </row>
    <row r="117" ht="14.25" customHeight="1">
      <c r="G117" s="55"/>
    </row>
    <row r="118" ht="14.25" customHeight="1">
      <c r="G118" s="55"/>
    </row>
    <row r="119" ht="14.25" customHeight="1">
      <c r="G119" s="55"/>
    </row>
    <row r="120" ht="14.25" customHeight="1">
      <c r="G120" s="55"/>
    </row>
    <row r="121" ht="14.25" customHeight="1">
      <c r="G121" s="55"/>
    </row>
    <row r="122" ht="14.25" customHeight="1">
      <c r="G122" s="55"/>
    </row>
    <row r="123" ht="14.25" customHeight="1">
      <c r="G123" s="55"/>
    </row>
    <row r="124" ht="14.25" customHeight="1">
      <c r="G124" s="55"/>
    </row>
    <row r="125" ht="14.25" customHeight="1">
      <c r="G125" s="55"/>
    </row>
    <row r="126" ht="14.25" customHeight="1">
      <c r="G126" s="55"/>
    </row>
    <row r="127" ht="14.25" customHeight="1">
      <c r="G127" s="55"/>
    </row>
    <row r="128" ht="14.25" customHeight="1">
      <c r="G128" s="55"/>
    </row>
    <row r="129" ht="14.25" customHeight="1">
      <c r="G129" s="55"/>
    </row>
    <row r="130" ht="14.25" customHeight="1">
      <c r="G130" s="55"/>
    </row>
    <row r="131" ht="14.25" customHeight="1">
      <c r="G131" s="55"/>
    </row>
    <row r="132" ht="14.25" customHeight="1">
      <c r="G132" s="55"/>
    </row>
    <row r="133" ht="14.25" customHeight="1">
      <c r="G133" s="55"/>
    </row>
    <row r="134" ht="14.25" customHeight="1">
      <c r="G134" s="55"/>
    </row>
    <row r="135" ht="14.25" customHeight="1">
      <c r="G135" s="55"/>
    </row>
    <row r="136" ht="14.25" customHeight="1">
      <c r="G136" s="55"/>
    </row>
    <row r="137" ht="14.25" customHeight="1">
      <c r="G137" s="55"/>
    </row>
    <row r="138" ht="14.25" customHeight="1">
      <c r="G138" s="55"/>
    </row>
    <row r="139" ht="14.25" customHeight="1">
      <c r="G139" s="55"/>
    </row>
    <row r="140" ht="14.25" customHeight="1">
      <c r="G140" s="55"/>
    </row>
    <row r="141" ht="14.25" customHeight="1">
      <c r="G141" s="55"/>
    </row>
    <row r="142" ht="14.25" customHeight="1">
      <c r="G142" s="55"/>
    </row>
    <row r="143" ht="14.25" customHeight="1">
      <c r="G143" s="55"/>
    </row>
    <row r="144" ht="14.25" customHeight="1">
      <c r="G144" s="55"/>
    </row>
    <row r="145" ht="14.25" customHeight="1">
      <c r="G145" s="55"/>
    </row>
    <row r="146" ht="14.25" customHeight="1">
      <c r="G146" s="55"/>
    </row>
    <row r="147" ht="14.25" customHeight="1">
      <c r="G147" s="55"/>
    </row>
    <row r="148" ht="14.25" customHeight="1">
      <c r="G148" s="55"/>
    </row>
    <row r="149" ht="14.25" customHeight="1">
      <c r="G149" s="55"/>
    </row>
    <row r="150" ht="14.25" customHeight="1">
      <c r="G150" s="55"/>
    </row>
    <row r="151" ht="14.25" customHeight="1">
      <c r="G151" s="55"/>
    </row>
    <row r="152" ht="14.25" customHeight="1">
      <c r="G152" s="55"/>
    </row>
    <row r="153" ht="14.25" customHeight="1">
      <c r="G153" s="55"/>
    </row>
    <row r="154" ht="14.25" customHeight="1">
      <c r="G154" s="55"/>
    </row>
    <row r="155" ht="14.25" customHeight="1">
      <c r="G155" s="55"/>
    </row>
    <row r="156" ht="14.25" customHeight="1">
      <c r="G156" s="55"/>
    </row>
    <row r="157" ht="14.25" customHeight="1">
      <c r="G157" s="55"/>
    </row>
    <row r="158" ht="14.25" customHeight="1">
      <c r="G158" s="55"/>
    </row>
    <row r="159" ht="14.25" customHeight="1">
      <c r="G159" s="55"/>
    </row>
    <row r="160" ht="14.25" customHeight="1">
      <c r="G160" s="55"/>
    </row>
    <row r="161" ht="14.25" customHeight="1">
      <c r="G161" s="55"/>
    </row>
    <row r="162" ht="14.25" customHeight="1">
      <c r="G162" s="55"/>
    </row>
    <row r="163" ht="14.25" customHeight="1">
      <c r="G163" s="55"/>
    </row>
    <row r="164" ht="14.25" customHeight="1">
      <c r="G164" s="55"/>
    </row>
    <row r="165" ht="14.25" customHeight="1">
      <c r="G165" s="55"/>
    </row>
    <row r="166" ht="14.25" customHeight="1">
      <c r="G166" s="55"/>
    </row>
    <row r="167" ht="14.25" customHeight="1">
      <c r="G167" s="55"/>
    </row>
    <row r="168" ht="14.25" customHeight="1">
      <c r="G168" s="55"/>
    </row>
    <row r="169" ht="14.25" customHeight="1">
      <c r="G169" s="55"/>
    </row>
    <row r="170" ht="14.25" customHeight="1">
      <c r="G170" s="55"/>
    </row>
    <row r="171" ht="14.25" customHeight="1">
      <c r="G171" s="55"/>
    </row>
    <row r="172" ht="14.25" customHeight="1">
      <c r="G172" s="55"/>
    </row>
    <row r="173" ht="14.25" customHeight="1">
      <c r="G173" s="55"/>
    </row>
    <row r="174" ht="14.25" customHeight="1">
      <c r="G174" s="55"/>
    </row>
    <row r="175" ht="14.25" customHeight="1">
      <c r="G175" s="55"/>
    </row>
    <row r="176" ht="14.25" customHeight="1">
      <c r="G176" s="55"/>
    </row>
    <row r="177" ht="14.25" customHeight="1">
      <c r="G177" s="55"/>
    </row>
    <row r="178" ht="14.25" customHeight="1">
      <c r="G178" s="55"/>
    </row>
    <row r="179" ht="14.25" customHeight="1">
      <c r="G179" s="55"/>
    </row>
    <row r="180" ht="14.25" customHeight="1">
      <c r="G180" s="55"/>
    </row>
    <row r="181" ht="14.25" customHeight="1">
      <c r="G181" s="55"/>
    </row>
    <row r="182" ht="14.25" customHeight="1">
      <c r="G182" s="55"/>
    </row>
    <row r="183" ht="14.25" customHeight="1">
      <c r="G183" s="55"/>
    </row>
    <row r="184" ht="14.25" customHeight="1">
      <c r="G184" s="55"/>
    </row>
    <row r="185" ht="14.25" customHeight="1">
      <c r="G185" s="55"/>
    </row>
    <row r="186" ht="14.25" customHeight="1">
      <c r="G186" s="55"/>
    </row>
    <row r="187" ht="14.25" customHeight="1">
      <c r="G187" s="55"/>
    </row>
    <row r="188" ht="14.25" customHeight="1">
      <c r="G188" s="55"/>
    </row>
    <row r="189" ht="14.25" customHeight="1">
      <c r="G189" s="55"/>
    </row>
    <row r="190" ht="14.25" customHeight="1">
      <c r="G190" s="55"/>
    </row>
    <row r="191" ht="14.25" customHeight="1">
      <c r="G191" s="55"/>
    </row>
    <row r="192" ht="14.25" customHeight="1">
      <c r="G192" s="55"/>
    </row>
    <row r="193" ht="14.25" customHeight="1">
      <c r="G193" s="55"/>
    </row>
    <row r="194" ht="14.25" customHeight="1">
      <c r="G194" s="55"/>
    </row>
    <row r="195" ht="14.25" customHeight="1">
      <c r="G195" s="55"/>
    </row>
    <row r="196" ht="14.25" customHeight="1">
      <c r="G196" s="55"/>
    </row>
    <row r="197" ht="14.25" customHeight="1">
      <c r="G197" s="55"/>
    </row>
    <row r="198" ht="14.25" customHeight="1">
      <c r="G198" s="55"/>
    </row>
    <row r="199" ht="14.25" customHeight="1">
      <c r="G199" s="55"/>
    </row>
    <row r="200" ht="14.25" customHeight="1">
      <c r="G200" s="55"/>
    </row>
    <row r="201" ht="14.25" customHeight="1">
      <c r="G201" s="55"/>
    </row>
    <row r="202" ht="14.25" customHeight="1">
      <c r="G202" s="55"/>
    </row>
    <row r="203" ht="14.25" customHeight="1">
      <c r="G203" s="55"/>
    </row>
    <row r="204" ht="14.25" customHeight="1">
      <c r="G204" s="55"/>
    </row>
    <row r="205" ht="14.25" customHeight="1">
      <c r="G205" s="55"/>
    </row>
    <row r="206" ht="14.25" customHeight="1">
      <c r="G206" s="55"/>
    </row>
    <row r="207" ht="14.25" customHeight="1">
      <c r="G207" s="55"/>
    </row>
    <row r="208" ht="14.25" customHeight="1">
      <c r="G208" s="55"/>
    </row>
    <row r="209" ht="14.25" customHeight="1">
      <c r="G209" s="55"/>
    </row>
    <row r="210" ht="14.25" customHeight="1">
      <c r="G210" s="55"/>
    </row>
    <row r="211" ht="14.25" customHeight="1">
      <c r="G211" s="55"/>
    </row>
    <row r="212" ht="14.25" customHeight="1">
      <c r="G212" s="55"/>
    </row>
    <row r="213" ht="14.25" customHeight="1">
      <c r="G213" s="55"/>
    </row>
    <row r="214" ht="14.25" customHeight="1">
      <c r="G214" s="55"/>
    </row>
    <row r="215" ht="14.25" customHeight="1">
      <c r="G215" s="55"/>
    </row>
    <row r="216" ht="14.25" customHeight="1">
      <c r="G216" s="55"/>
    </row>
    <row r="217" ht="14.25" customHeight="1">
      <c r="G217" s="55"/>
    </row>
    <row r="218" ht="14.25" customHeight="1">
      <c r="G218" s="55"/>
    </row>
    <row r="219" ht="14.25" customHeight="1">
      <c r="G219" s="55"/>
    </row>
    <row r="220" ht="14.25" customHeight="1">
      <c r="G220" s="55"/>
    </row>
    <row r="221" ht="14.25" customHeight="1">
      <c r="G221" s="55"/>
    </row>
    <row r="222" ht="14.25" customHeight="1">
      <c r="G222" s="55"/>
    </row>
    <row r="223" ht="14.25" customHeight="1">
      <c r="G223" s="55"/>
    </row>
    <row r="224" ht="14.25" customHeight="1">
      <c r="G224" s="55"/>
    </row>
    <row r="225" ht="14.25" customHeight="1">
      <c r="G225" s="55"/>
    </row>
    <row r="226" ht="14.25" customHeight="1">
      <c r="G226" s="55"/>
    </row>
    <row r="227" ht="14.25" customHeight="1">
      <c r="G227" s="55"/>
    </row>
    <row r="228" ht="14.25" customHeight="1">
      <c r="G228" s="55"/>
    </row>
    <row r="229" ht="14.25" customHeight="1">
      <c r="G229" s="55"/>
    </row>
    <row r="230" ht="14.25" customHeight="1">
      <c r="G230" s="55"/>
    </row>
    <row r="231" ht="14.25" customHeight="1">
      <c r="G231" s="55"/>
    </row>
    <row r="232" ht="14.25" customHeight="1">
      <c r="G232" s="55"/>
    </row>
    <row r="233" ht="14.25" customHeight="1">
      <c r="G233" s="55"/>
    </row>
    <row r="234" ht="14.25" customHeight="1">
      <c r="G234" s="55"/>
    </row>
    <row r="235" ht="14.25" customHeight="1">
      <c r="G235" s="55"/>
    </row>
    <row r="236" ht="14.25" customHeight="1">
      <c r="G236" s="55"/>
    </row>
    <row r="237" ht="14.25" customHeight="1">
      <c r="G237" s="55"/>
    </row>
    <row r="238" ht="14.25" customHeight="1">
      <c r="G238" s="55"/>
    </row>
    <row r="239" ht="14.25" customHeight="1">
      <c r="G239" s="55"/>
    </row>
    <row r="240" ht="14.25" customHeight="1">
      <c r="G240" s="55"/>
    </row>
    <row r="241" ht="14.25" customHeight="1">
      <c r="G241" s="55"/>
    </row>
    <row r="242" ht="14.25" customHeight="1">
      <c r="G242" s="55"/>
    </row>
    <row r="243" ht="14.25" customHeight="1">
      <c r="G243" s="55"/>
    </row>
    <row r="244" ht="14.25" customHeight="1">
      <c r="G244" s="55"/>
    </row>
    <row r="245" ht="14.25" customHeight="1">
      <c r="G245" s="55"/>
    </row>
    <row r="246" ht="14.25" customHeight="1">
      <c r="G246" s="55"/>
    </row>
    <row r="247" ht="14.25" customHeight="1">
      <c r="G247" s="55"/>
    </row>
    <row r="248" ht="14.25" customHeight="1">
      <c r="G248" s="55"/>
    </row>
    <row r="249" ht="14.25" customHeight="1">
      <c r="G249" s="55"/>
    </row>
    <row r="250" ht="14.25" customHeight="1">
      <c r="G250" s="55"/>
    </row>
    <row r="251" ht="14.25" customHeight="1">
      <c r="G251" s="55"/>
    </row>
    <row r="252" ht="14.25" customHeight="1">
      <c r="G252" s="55"/>
    </row>
    <row r="253" ht="14.25" customHeight="1">
      <c r="G253" s="55"/>
    </row>
    <row r="254" ht="14.25" customHeight="1">
      <c r="G254" s="55"/>
    </row>
    <row r="255" ht="14.25" customHeight="1">
      <c r="G255" s="55"/>
    </row>
    <row r="256" ht="14.25" customHeight="1">
      <c r="G256" s="55"/>
    </row>
    <row r="257" ht="14.25" customHeight="1">
      <c r="G257" s="55"/>
    </row>
    <row r="258" ht="14.25" customHeight="1">
      <c r="G258" s="55"/>
    </row>
    <row r="259" ht="14.25" customHeight="1">
      <c r="G259" s="55"/>
    </row>
    <row r="260" ht="14.25" customHeight="1">
      <c r="G260" s="55"/>
    </row>
    <row r="261" ht="14.25" customHeight="1">
      <c r="G261" s="55"/>
    </row>
    <row r="262" ht="14.25" customHeight="1">
      <c r="G262" s="55"/>
    </row>
    <row r="263" ht="14.25" customHeight="1">
      <c r="G263" s="55"/>
    </row>
    <row r="264" ht="14.25" customHeight="1">
      <c r="G264" s="55"/>
    </row>
    <row r="265" ht="14.25" customHeight="1">
      <c r="G265" s="55"/>
    </row>
    <row r="266" ht="14.25" customHeight="1">
      <c r="G266" s="55"/>
    </row>
    <row r="267" ht="14.25" customHeight="1">
      <c r="G267" s="55"/>
    </row>
    <row r="268" ht="14.25" customHeight="1">
      <c r="G268" s="55"/>
    </row>
    <row r="269" ht="14.25" customHeight="1">
      <c r="G269" s="55"/>
    </row>
    <row r="270" ht="14.25" customHeight="1">
      <c r="G270" s="55"/>
    </row>
    <row r="271" ht="14.25" customHeight="1">
      <c r="G271" s="55"/>
    </row>
    <row r="272" ht="14.25" customHeight="1">
      <c r="G272" s="55"/>
    </row>
    <row r="273" ht="14.25" customHeight="1">
      <c r="G273" s="55"/>
    </row>
    <row r="274" ht="14.25" customHeight="1">
      <c r="G274" s="55"/>
    </row>
    <row r="275" ht="14.25" customHeight="1">
      <c r="G275" s="55"/>
    </row>
    <row r="276" ht="14.25" customHeight="1">
      <c r="G276" s="55"/>
    </row>
    <row r="277" ht="14.25" customHeight="1">
      <c r="G277" s="55"/>
    </row>
    <row r="278" ht="14.25" customHeight="1">
      <c r="G278" s="55"/>
    </row>
    <row r="279" ht="14.25" customHeight="1">
      <c r="G279" s="55"/>
    </row>
    <row r="280" ht="14.25" customHeight="1">
      <c r="G280" s="55"/>
    </row>
    <row r="281" ht="14.25" customHeight="1">
      <c r="G281" s="55"/>
    </row>
    <row r="282" ht="14.25" customHeight="1">
      <c r="G282" s="55"/>
    </row>
    <row r="283" ht="14.25" customHeight="1">
      <c r="G283" s="55"/>
    </row>
    <row r="284" ht="14.25" customHeight="1">
      <c r="G284" s="55"/>
    </row>
    <row r="285" ht="14.25" customHeight="1">
      <c r="G285" s="55"/>
    </row>
    <row r="286" ht="14.25" customHeight="1">
      <c r="G286" s="55"/>
    </row>
    <row r="287" ht="14.25" customHeight="1">
      <c r="G287" s="55"/>
    </row>
    <row r="288" ht="14.25" customHeight="1">
      <c r="G288" s="55"/>
    </row>
    <row r="289" ht="14.25" customHeight="1">
      <c r="G289" s="55"/>
    </row>
    <row r="290" ht="14.25" customHeight="1">
      <c r="G290" s="55"/>
    </row>
    <row r="291" ht="14.25" customHeight="1">
      <c r="G291" s="55"/>
    </row>
    <row r="292" ht="14.25" customHeight="1">
      <c r="G292" s="55"/>
    </row>
    <row r="293" ht="14.25" customHeight="1">
      <c r="G293" s="55"/>
    </row>
    <row r="294" ht="14.25" customHeight="1">
      <c r="G294" s="55"/>
    </row>
    <row r="295" ht="14.25" customHeight="1">
      <c r="G295" s="55"/>
    </row>
    <row r="296" ht="14.25" customHeight="1">
      <c r="G296" s="55"/>
    </row>
    <row r="297" ht="14.25" customHeight="1">
      <c r="G297" s="55"/>
    </row>
    <row r="298" ht="14.25" customHeight="1">
      <c r="G298" s="55"/>
    </row>
    <row r="299" ht="14.25" customHeight="1">
      <c r="G299" s="55"/>
    </row>
    <row r="300" ht="14.25" customHeight="1">
      <c r="G300" s="55"/>
    </row>
    <row r="301" ht="14.25" customHeight="1">
      <c r="G301" s="55"/>
    </row>
    <row r="302" ht="14.25" customHeight="1">
      <c r="G302" s="55"/>
    </row>
    <row r="303" ht="14.25" customHeight="1">
      <c r="G303" s="55"/>
    </row>
    <row r="304" ht="14.25" customHeight="1">
      <c r="G304" s="55"/>
    </row>
    <row r="305" ht="14.25" customHeight="1">
      <c r="G305" s="55"/>
    </row>
    <row r="306" ht="14.25" customHeight="1">
      <c r="G306" s="55"/>
    </row>
    <row r="307" ht="14.25" customHeight="1">
      <c r="G307" s="55"/>
    </row>
    <row r="308" ht="14.25" customHeight="1">
      <c r="G308" s="55"/>
    </row>
    <row r="309" ht="14.25" customHeight="1">
      <c r="G309" s="55"/>
    </row>
    <row r="310" ht="14.25" customHeight="1">
      <c r="G310" s="55"/>
    </row>
    <row r="311" ht="14.25" customHeight="1">
      <c r="G311" s="55"/>
    </row>
    <row r="312" ht="14.25" customHeight="1">
      <c r="G312" s="55"/>
    </row>
    <row r="313" ht="14.25" customHeight="1">
      <c r="G313" s="55"/>
    </row>
    <row r="314" ht="14.25" customHeight="1">
      <c r="G314" s="55"/>
    </row>
    <row r="315" ht="14.25" customHeight="1">
      <c r="G315" s="55"/>
    </row>
    <row r="316" ht="14.25" customHeight="1">
      <c r="G316" s="55"/>
    </row>
    <row r="317" ht="14.25" customHeight="1">
      <c r="G317" s="55"/>
    </row>
    <row r="318" ht="14.25" customHeight="1">
      <c r="G318" s="55"/>
    </row>
    <row r="319" ht="14.25" customHeight="1">
      <c r="G319" s="55"/>
    </row>
    <row r="320" ht="14.25" customHeight="1">
      <c r="G320" s="55"/>
    </row>
    <row r="321" ht="14.25" customHeight="1">
      <c r="G321" s="55"/>
    </row>
    <row r="322" ht="14.25" customHeight="1">
      <c r="G322" s="55"/>
    </row>
    <row r="323" ht="14.25" customHeight="1">
      <c r="G323" s="55"/>
    </row>
    <row r="324" ht="14.25" customHeight="1">
      <c r="G324" s="55"/>
    </row>
    <row r="325" ht="14.25" customHeight="1">
      <c r="G325" s="55"/>
    </row>
    <row r="326" ht="14.25" customHeight="1">
      <c r="G326" s="55"/>
    </row>
    <row r="327" ht="14.25" customHeight="1">
      <c r="G327" s="55"/>
    </row>
    <row r="328" ht="14.25" customHeight="1">
      <c r="G328" s="55"/>
    </row>
    <row r="329" ht="14.25" customHeight="1">
      <c r="G329" s="55"/>
    </row>
    <row r="330" ht="14.25" customHeight="1">
      <c r="G330" s="55"/>
    </row>
    <row r="331" ht="14.25" customHeight="1">
      <c r="G331" s="55"/>
    </row>
    <row r="332" ht="14.25" customHeight="1">
      <c r="G332" s="55"/>
    </row>
    <row r="333" ht="14.25" customHeight="1">
      <c r="G333" s="55"/>
    </row>
    <row r="334" ht="14.25" customHeight="1">
      <c r="G334" s="55"/>
    </row>
    <row r="335" ht="14.25" customHeight="1">
      <c r="G335" s="55"/>
    </row>
    <row r="336" ht="14.25" customHeight="1">
      <c r="G336" s="55"/>
    </row>
    <row r="337" ht="14.25" customHeight="1">
      <c r="G337" s="55"/>
    </row>
    <row r="338" ht="14.25" customHeight="1">
      <c r="G338" s="55"/>
    </row>
    <row r="339" ht="14.25" customHeight="1">
      <c r="G339" s="55"/>
    </row>
    <row r="340" ht="14.25" customHeight="1">
      <c r="G340" s="55"/>
    </row>
    <row r="341" ht="14.25" customHeight="1">
      <c r="G341" s="55"/>
    </row>
    <row r="342" ht="14.25" customHeight="1">
      <c r="G342" s="55"/>
    </row>
    <row r="343" ht="14.25" customHeight="1">
      <c r="G343" s="55"/>
    </row>
    <row r="344" ht="14.25" customHeight="1">
      <c r="G344" s="55"/>
    </row>
    <row r="345" ht="14.25" customHeight="1">
      <c r="G345" s="55"/>
    </row>
    <row r="346" ht="14.25" customHeight="1">
      <c r="G346" s="55"/>
    </row>
    <row r="347" ht="14.25" customHeight="1">
      <c r="G347" s="55"/>
    </row>
    <row r="348" ht="14.25" customHeight="1">
      <c r="G348" s="55"/>
    </row>
    <row r="349" ht="14.25" customHeight="1">
      <c r="G349" s="55"/>
    </row>
    <row r="350" ht="14.25" customHeight="1">
      <c r="G350" s="55"/>
    </row>
    <row r="351" ht="14.25" customHeight="1">
      <c r="G351" s="55"/>
    </row>
    <row r="352" ht="14.25" customHeight="1">
      <c r="G352" s="55"/>
    </row>
    <row r="353" ht="14.25" customHeight="1">
      <c r="G353" s="55"/>
    </row>
    <row r="354" ht="14.25" customHeight="1">
      <c r="G354" s="55"/>
    </row>
    <row r="355" ht="14.25" customHeight="1">
      <c r="G355" s="55"/>
    </row>
    <row r="356" ht="14.25" customHeight="1">
      <c r="G356" s="55"/>
    </row>
    <row r="357" ht="14.25" customHeight="1">
      <c r="G357" s="55"/>
    </row>
    <row r="358" ht="14.25" customHeight="1">
      <c r="G358" s="55"/>
    </row>
    <row r="359" ht="14.25" customHeight="1">
      <c r="G359" s="55"/>
    </row>
    <row r="360" ht="14.25" customHeight="1">
      <c r="G360" s="55"/>
    </row>
    <row r="361" ht="14.25" customHeight="1">
      <c r="G361" s="55"/>
    </row>
    <row r="362" ht="14.25" customHeight="1">
      <c r="G362" s="55"/>
    </row>
    <row r="363" ht="14.25" customHeight="1">
      <c r="G363" s="55"/>
    </row>
    <row r="364" ht="14.25" customHeight="1">
      <c r="G364" s="55"/>
    </row>
    <row r="365" ht="14.25" customHeight="1">
      <c r="G365" s="55"/>
    </row>
    <row r="366" ht="14.25" customHeight="1">
      <c r="G366" s="55"/>
    </row>
    <row r="367" ht="14.25" customHeight="1">
      <c r="G367" s="55"/>
    </row>
    <row r="368" ht="14.25" customHeight="1">
      <c r="G368" s="55"/>
    </row>
    <row r="369" ht="14.25" customHeight="1">
      <c r="G369" s="55"/>
    </row>
    <row r="370" ht="14.25" customHeight="1">
      <c r="G370" s="55"/>
    </row>
    <row r="371" ht="14.25" customHeight="1">
      <c r="G371" s="55"/>
    </row>
    <row r="372" ht="14.25" customHeight="1">
      <c r="G372" s="55"/>
    </row>
    <row r="373" ht="14.25" customHeight="1">
      <c r="G373" s="55"/>
    </row>
    <row r="374" ht="14.25" customHeight="1">
      <c r="G374" s="55"/>
    </row>
    <row r="375" ht="14.25" customHeight="1">
      <c r="G375" s="55"/>
    </row>
    <row r="376" ht="14.25" customHeight="1">
      <c r="G376" s="55"/>
    </row>
    <row r="377" ht="14.25" customHeight="1">
      <c r="G377" s="55"/>
    </row>
    <row r="378" ht="14.25" customHeight="1">
      <c r="G378" s="55"/>
    </row>
    <row r="379" ht="14.25" customHeight="1">
      <c r="G379" s="55"/>
    </row>
    <row r="380" ht="14.25" customHeight="1">
      <c r="G380" s="55"/>
    </row>
    <row r="381" ht="14.25" customHeight="1">
      <c r="G381" s="55"/>
    </row>
    <row r="382" ht="14.25" customHeight="1">
      <c r="G382" s="55"/>
    </row>
    <row r="383" ht="14.25" customHeight="1">
      <c r="G383" s="55"/>
    </row>
    <row r="384" ht="14.25" customHeight="1">
      <c r="G384" s="55"/>
    </row>
    <row r="385" ht="14.25" customHeight="1">
      <c r="G385" s="55"/>
    </row>
    <row r="386" ht="14.25" customHeight="1">
      <c r="G386" s="55"/>
    </row>
    <row r="387" ht="14.25" customHeight="1">
      <c r="G387" s="55"/>
    </row>
    <row r="388" ht="14.25" customHeight="1">
      <c r="G388" s="55"/>
    </row>
    <row r="389" ht="14.25" customHeight="1">
      <c r="G389" s="55"/>
    </row>
    <row r="390" ht="14.25" customHeight="1">
      <c r="G390" s="55"/>
    </row>
    <row r="391" ht="14.25" customHeight="1">
      <c r="G391" s="55"/>
    </row>
    <row r="392" ht="14.25" customHeight="1">
      <c r="G392" s="55"/>
    </row>
    <row r="393" ht="14.25" customHeight="1">
      <c r="G393" s="55"/>
    </row>
    <row r="394" ht="14.25" customHeight="1">
      <c r="G394" s="55"/>
    </row>
    <row r="395" ht="14.25" customHeight="1">
      <c r="G395" s="55"/>
    </row>
    <row r="396" ht="14.25" customHeight="1">
      <c r="G396" s="55"/>
    </row>
    <row r="397" ht="14.25" customHeight="1">
      <c r="G397" s="55"/>
    </row>
    <row r="398" ht="14.25" customHeight="1">
      <c r="G398" s="55"/>
    </row>
    <row r="399" ht="14.25" customHeight="1">
      <c r="G399" s="55"/>
    </row>
    <row r="400" ht="14.25" customHeight="1">
      <c r="G400" s="55"/>
    </row>
    <row r="401" ht="14.25" customHeight="1">
      <c r="G401" s="55"/>
    </row>
    <row r="402" ht="14.25" customHeight="1">
      <c r="G402" s="55"/>
    </row>
    <row r="403" ht="14.25" customHeight="1">
      <c r="G403" s="55"/>
    </row>
    <row r="404" ht="14.25" customHeight="1">
      <c r="G404" s="55"/>
    </row>
    <row r="405" ht="14.25" customHeight="1">
      <c r="G405" s="55"/>
    </row>
    <row r="406" ht="14.25" customHeight="1">
      <c r="G406" s="55"/>
    </row>
    <row r="407" ht="14.25" customHeight="1">
      <c r="G407" s="55"/>
    </row>
    <row r="408" ht="14.25" customHeight="1">
      <c r="G408" s="55"/>
    </row>
    <row r="409" ht="14.25" customHeight="1">
      <c r="G409" s="55"/>
    </row>
    <row r="410" ht="14.25" customHeight="1">
      <c r="G410" s="55"/>
    </row>
    <row r="411" ht="14.25" customHeight="1">
      <c r="G411" s="55"/>
    </row>
    <row r="412" ht="14.25" customHeight="1">
      <c r="G412" s="55"/>
    </row>
    <row r="413" ht="14.25" customHeight="1">
      <c r="G413" s="55"/>
    </row>
    <row r="414" ht="14.25" customHeight="1">
      <c r="G414" s="55"/>
    </row>
    <row r="415" ht="14.25" customHeight="1">
      <c r="G415" s="55"/>
    </row>
    <row r="416" ht="14.25" customHeight="1">
      <c r="G416" s="55"/>
    </row>
    <row r="417" ht="14.25" customHeight="1">
      <c r="G417" s="55"/>
    </row>
    <row r="418" ht="14.25" customHeight="1">
      <c r="G418" s="55"/>
    </row>
    <row r="419" ht="14.25" customHeight="1">
      <c r="G419" s="55"/>
    </row>
    <row r="420" ht="14.25" customHeight="1">
      <c r="G420" s="55"/>
    </row>
    <row r="421" ht="14.25" customHeight="1">
      <c r="G421" s="55"/>
    </row>
    <row r="422" ht="14.25" customHeight="1">
      <c r="G422" s="55"/>
    </row>
    <row r="423" ht="14.25" customHeight="1">
      <c r="G423" s="55"/>
    </row>
    <row r="424" ht="14.25" customHeight="1">
      <c r="G424" s="55"/>
    </row>
    <row r="425" ht="14.25" customHeight="1">
      <c r="G425" s="55"/>
    </row>
    <row r="426" ht="14.25" customHeight="1">
      <c r="G426" s="55"/>
    </row>
    <row r="427" ht="14.25" customHeight="1">
      <c r="G427" s="55"/>
    </row>
    <row r="428" ht="14.25" customHeight="1">
      <c r="G428" s="55"/>
    </row>
    <row r="429" ht="14.25" customHeight="1">
      <c r="G429" s="55"/>
    </row>
    <row r="430" ht="14.25" customHeight="1">
      <c r="G430" s="55"/>
    </row>
    <row r="431" ht="14.25" customHeight="1">
      <c r="G431" s="55"/>
    </row>
    <row r="432" ht="14.25" customHeight="1">
      <c r="G432" s="55"/>
    </row>
    <row r="433" ht="14.25" customHeight="1">
      <c r="G433" s="55"/>
    </row>
    <row r="434" ht="14.25" customHeight="1">
      <c r="G434" s="55"/>
    </row>
    <row r="435" ht="14.25" customHeight="1">
      <c r="G435" s="55"/>
    </row>
    <row r="436" ht="14.25" customHeight="1">
      <c r="G436" s="55"/>
    </row>
    <row r="437" ht="14.25" customHeight="1">
      <c r="G437" s="55"/>
    </row>
    <row r="438" ht="14.25" customHeight="1">
      <c r="G438" s="55"/>
    </row>
    <row r="439" ht="14.25" customHeight="1">
      <c r="G439" s="55"/>
    </row>
    <row r="440" ht="14.25" customHeight="1">
      <c r="G440" s="55"/>
    </row>
    <row r="441" ht="14.25" customHeight="1">
      <c r="G441" s="55"/>
    </row>
    <row r="442" ht="14.25" customHeight="1">
      <c r="G442" s="55"/>
    </row>
    <row r="443" ht="14.25" customHeight="1">
      <c r="G443" s="55"/>
    </row>
    <row r="444" ht="14.25" customHeight="1">
      <c r="G444" s="55"/>
    </row>
    <row r="445" ht="14.25" customHeight="1">
      <c r="G445" s="55"/>
    </row>
    <row r="446" ht="14.25" customHeight="1">
      <c r="G446" s="55"/>
    </row>
    <row r="447" ht="14.25" customHeight="1">
      <c r="G447" s="55"/>
    </row>
    <row r="448" ht="14.25" customHeight="1">
      <c r="G448" s="55"/>
    </row>
    <row r="449" ht="14.25" customHeight="1">
      <c r="G449" s="55"/>
    </row>
    <row r="450" ht="14.25" customHeight="1">
      <c r="G450" s="55"/>
    </row>
    <row r="451" ht="14.25" customHeight="1">
      <c r="G451" s="55"/>
    </row>
    <row r="452" ht="14.25" customHeight="1">
      <c r="G452" s="55"/>
    </row>
    <row r="453" ht="14.25" customHeight="1">
      <c r="G453" s="55"/>
    </row>
    <row r="454" ht="14.25" customHeight="1">
      <c r="G454" s="55"/>
    </row>
    <row r="455" ht="14.25" customHeight="1">
      <c r="G455" s="55"/>
    </row>
    <row r="456" ht="14.25" customHeight="1">
      <c r="G456" s="55"/>
    </row>
    <row r="457" ht="14.25" customHeight="1">
      <c r="G457" s="55"/>
    </row>
    <row r="458" ht="14.25" customHeight="1">
      <c r="G458" s="55"/>
    </row>
    <row r="459" ht="14.25" customHeight="1">
      <c r="G459" s="55"/>
    </row>
    <row r="460" ht="14.25" customHeight="1">
      <c r="G460" s="55"/>
    </row>
    <row r="461" ht="14.25" customHeight="1">
      <c r="G461" s="55"/>
    </row>
    <row r="462" ht="14.25" customHeight="1">
      <c r="G462" s="55"/>
    </row>
    <row r="463" ht="14.25" customHeight="1">
      <c r="G463" s="55"/>
    </row>
    <row r="464" ht="14.25" customHeight="1">
      <c r="G464" s="55"/>
    </row>
    <row r="465" ht="14.25" customHeight="1">
      <c r="G465" s="55"/>
    </row>
    <row r="466" ht="14.25" customHeight="1">
      <c r="G466" s="55"/>
    </row>
    <row r="467" ht="14.25" customHeight="1">
      <c r="G467" s="55"/>
    </row>
    <row r="468" ht="14.25" customHeight="1">
      <c r="G468" s="55"/>
    </row>
    <row r="469" ht="14.25" customHeight="1">
      <c r="G469" s="55"/>
    </row>
    <row r="470" ht="14.25" customHeight="1">
      <c r="G470" s="55"/>
    </row>
    <row r="471" ht="14.25" customHeight="1">
      <c r="G471" s="55"/>
    </row>
    <row r="472" ht="14.25" customHeight="1">
      <c r="G472" s="55"/>
    </row>
    <row r="473" ht="14.25" customHeight="1">
      <c r="G473" s="55"/>
    </row>
    <row r="474" ht="14.25" customHeight="1">
      <c r="G474" s="55"/>
    </row>
    <row r="475" ht="14.25" customHeight="1">
      <c r="G475" s="55"/>
    </row>
    <row r="476" ht="14.25" customHeight="1">
      <c r="G476" s="55"/>
    </row>
    <row r="477" ht="14.25" customHeight="1">
      <c r="G477" s="55"/>
    </row>
    <row r="478" ht="14.25" customHeight="1">
      <c r="G478" s="55"/>
    </row>
    <row r="479" ht="14.25" customHeight="1">
      <c r="G479" s="55"/>
    </row>
    <row r="480" ht="14.25" customHeight="1">
      <c r="G480" s="55"/>
    </row>
    <row r="481" ht="14.25" customHeight="1">
      <c r="G481" s="55"/>
    </row>
    <row r="482" ht="14.25" customHeight="1">
      <c r="G482" s="55"/>
    </row>
    <row r="483" ht="14.25" customHeight="1">
      <c r="G483" s="55"/>
    </row>
    <row r="484" ht="14.25" customHeight="1">
      <c r="G484" s="55"/>
    </row>
    <row r="485" ht="14.25" customHeight="1">
      <c r="G485" s="55"/>
    </row>
    <row r="486" ht="14.25" customHeight="1">
      <c r="G486" s="55"/>
    </row>
    <row r="487" ht="14.25" customHeight="1">
      <c r="G487" s="55"/>
    </row>
    <row r="488" ht="14.25" customHeight="1">
      <c r="G488" s="55"/>
    </row>
    <row r="489" ht="14.25" customHeight="1">
      <c r="G489" s="55"/>
    </row>
    <row r="490" ht="14.25" customHeight="1">
      <c r="G490" s="55"/>
    </row>
    <row r="491" ht="14.25" customHeight="1">
      <c r="G491" s="55"/>
    </row>
    <row r="492" ht="14.25" customHeight="1">
      <c r="G492" s="55"/>
    </row>
    <row r="493" ht="14.25" customHeight="1">
      <c r="G493" s="55"/>
    </row>
    <row r="494" ht="14.25" customHeight="1">
      <c r="G494" s="55"/>
    </row>
    <row r="495" ht="14.25" customHeight="1">
      <c r="G495" s="55"/>
    </row>
    <row r="496" ht="14.25" customHeight="1">
      <c r="G496" s="55"/>
    </row>
    <row r="497" ht="14.25" customHeight="1">
      <c r="G497" s="55"/>
    </row>
    <row r="498" ht="14.25" customHeight="1">
      <c r="G498" s="55"/>
    </row>
    <row r="499" ht="14.25" customHeight="1">
      <c r="G499" s="55"/>
    </row>
    <row r="500" ht="14.25" customHeight="1">
      <c r="G500" s="55"/>
    </row>
    <row r="501" ht="14.25" customHeight="1">
      <c r="G501" s="55"/>
    </row>
    <row r="502" ht="14.25" customHeight="1">
      <c r="G502" s="55"/>
    </row>
    <row r="503" ht="14.25" customHeight="1">
      <c r="G503" s="55"/>
    </row>
    <row r="504" ht="14.25" customHeight="1">
      <c r="G504" s="55"/>
    </row>
    <row r="505" ht="14.25" customHeight="1">
      <c r="G505" s="55"/>
    </row>
    <row r="506" ht="14.25" customHeight="1">
      <c r="G506" s="55"/>
    </row>
    <row r="507" ht="14.25" customHeight="1">
      <c r="G507" s="55"/>
    </row>
    <row r="508" ht="14.25" customHeight="1">
      <c r="G508" s="55"/>
    </row>
    <row r="509" ht="14.25" customHeight="1">
      <c r="G509" s="55"/>
    </row>
    <row r="510" ht="14.25" customHeight="1">
      <c r="G510" s="55"/>
    </row>
    <row r="511" ht="14.25" customHeight="1">
      <c r="G511" s="55"/>
    </row>
    <row r="512" ht="14.25" customHeight="1">
      <c r="G512" s="55"/>
    </row>
    <row r="513" ht="14.25" customHeight="1">
      <c r="G513" s="55"/>
    </row>
    <row r="514" ht="14.25" customHeight="1">
      <c r="G514" s="55"/>
    </row>
    <row r="515" ht="14.25" customHeight="1">
      <c r="G515" s="55"/>
    </row>
    <row r="516" ht="14.25" customHeight="1">
      <c r="G516" s="55"/>
    </row>
    <row r="517" ht="14.25" customHeight="1">
      <c r="G517" s="55"/>
    </row>
    <row r="518" ht="14.25" customHeight="1">
      <c r="G518" s="55"/>
    </row>
    <row r="519" ht="14.25" customHeight="1">
      <c r="G519" s="55"/>
    </row>
    <row r="520" ht="14.25" customHeight="1">
      <c r="G520" s="55"/>
    </row>
    <row r="521" ht="14.25" customHeight="1">
      <c r="G521" s="55"/>
    </row>
    <row r="522" ht="14.25" customHeight="1">
      <c r="G522" s="55"/>
    </row>
    <row r="523" ht="14.25" customHeight="1">
      <c r="G523" s="55"/>
    </row>
    <row r="524" ht="14.25" customHeight="1">
      <c r="G524" s="55"/>
    </row>
    <row r="525" ht="14.25" customHeight="1">
      <c r="G525" s="55"/>
    </row>
    <row r="526" ht="14.25" customHeight="1">
      <c r="G526" s="55"/>
    </row>
    <row r="527" ht="14.25" customHeight="1">
      <c r="G527" s="55"/>
    </row>
    <row r="528" ht="14.25" customHeight="1">
      <c r="G528" s="55"/>
    </row>
    <row r="529" ht="14.25" customHeight="1">
      <c r="G529" s="55"/>
    </row>
    <row r="530" ht="14.25" customHeight="1">
      <c r="G530" s="55"/>
    </row>
    <row r="531" ht="14.25" customHeight="1">
      <c r="G531" s="55"/>
    </row>
    <row r="532" ht="14.25" customHeight="1">
      <c r="G532" s="55"/>
    </row>
    <row r="533" ht="14.25" customHeight="1">
      <c r="G533" s="55"/>
    </row>
    <row r="534" ht="14.25" customHeight="1">
      <c r="G534" s="55"/>
    </row>
    <row r="535" ht="14.25" customHeight="1">
      <c r="G535" s="55"/>
    </row>
    <row r="536" ht="14.25" customHeight="1">
      <c r="G536" s="55"/>
    </row>
    <row r="537" ht="14.25" customHeight="1">
      <c r="G537" s="55"/>
    </row>
    <row r="538" ht="14.25" customHeight="1">
      <c r="G538" s="55"/>
    </row>
    <row r="539" ht="14.25" customHeight="1">
      <c r="G539" s="55"/>
    </row>
    <row r="540" ht="14.25" customHeight="1">
      <c r="G540" s="55"/>
    </row>
    <row r="541" ht="14.25" customHeight="1">
      <c r="G541" s="55"/>
    </row>
    <row r="542" ht="14.25" customHeight="1">
      <c r="G542" s="55"/>
    </row>
    <row r="543" ht="14.25" customHeight="1">
      <c r="G543" s="55"/>
    </row>
    <row r="544" ht="14.25" customHeight="1">
      <c r="G544" s="55"/>
    </row>
    <row r="545" ht="14.25" customHeight="1">
      <c r="G545" s="55"/>
    </row>
    <row r="546" ht="14.25" customHeight="1">
      <c r="G546" s="55"/>
    </row>
    <row r="547" ht="14.25" customHeight="1">
      <c r="G547" s="55"/>
    </row>
    <row r="548" ht="14.25" customHeight="1">
      <c r="G548" s="55"/>
    </row>
    <row r="549" ht="14.25" customHeight="1">
      <c r="G549" s="55"/>
    </row>
    <row r="550" ht="14.25" customHeight="1">
      <c r="G550" s="55"/>
    </row>
    <row r="551" ht="14.25" customHeight="1">
      <c r="G551" s="55"/>
    </row>
    <row r="552" ht="14.25" customHeight="1">
      <c r="G552" s="55"/>
    </row>
    <row r="553" ht="14.25" customHeight="1">
      <c r="G553" s="55"/>
    </row>
    <row r="554" ht="14.25" customHeight="1">
      <c r="G554" s="55"/>
    </row>
    <row r="555" ht="14.25" customHeight="1">
      <c r="G555" s="55"/>
    </row>
    <row r="556" ht="14.25" customHeight="1">
      <c r="G556" s="55"/>
    </row>
    <row r="557" ht="14.25" customHeight="1">
      <c r="G557" s="55"/>
    </row>
    <row r="558" ht="14.25" customHeight="1">
      <c r="G558" s="55"/>
    </row>
    <row r="559" ht="14.25" customHeight="1">
      <c r="G559" s="55"/>
    </row>
    <row r="560" ht="14.25" customHeight="1">
      <c r="G560" s="55"/>
    </row>
    <row r="561" ht="14.25" customHeight="1">
      <c r="G561" s="55"/>
    </row>
    <row r="562" ht="14.25" customHeight="1">
      <c r="G562" s="55"/>
    </row>
    <row r="563" ht="14.25" customHeight="1">
      <c r="G563" s="55"/>
    </row>
    <row r="564" ht="14.25" customHeight="1">
      <c r="G564" s="55"/>
    </row>
    <row r="565" ht="14.25" customHeight="1">
      <c r="G565" s="55"/>
    </row>
    <row r="566" ht="14.25" customHeight="1">
      <c r="G566" s="55"/>
    </row>
    <row r="567" ht="14.25" customHeight="1">
      <c r="G567" s="55"/>
    </row>
    <row r="568" ht="14.25" customHeight="1">
      <c r="G568" s="55"/>
    </row>
    <row r="569" ht="14.25" customHeight="1">
      <c r="G569" s="55"/>
    </row>
    <row r="570" ht="14.25" customHeight="1">
      <c r="G570" s="55"/>
    </row>
    <row r="571" ht="14.25" customHeight="1">
      <c r="G571" s="55"/>
    </row>
    <row r="572" ht="14.25" customHeight="1">
      <c r="G572" s="55"/>
    </row>
    <row r="573" ht="14.25" customHeight="1">
      <c r="G573" s="55"/>
    </row>
    <row r="574" ht="14.25" customHeight="1">
      <c r="G574" s="55"/>
    </row>
    <row r="575" ht="14.25" customHeight="1">
      <c r="G575" s="55"/>
    </row>
    <row r="576" ht="14.25" customHeight="1">
      <c r="G576" s="55"/>
    </row>
    <row r="577" ht="14.25" customHeight="1">
      <c r="G577" s="55"/>
    </row>
    <row r="578" ht="14.25" customHeight="1">
      <c r="G578" s="55"/>
    </row>
    <row r="579" ht="14.25" customHeight="1">
      <c r="G579" s="55"/>
    </row>
    <row r="580" ht="14.25" customHeight="1">
      <c r="G580" s="55"/>
    </row>
    <row r="581" ht="14.25" customHeight="1">
      <c r="G581" s="55"/>
    </row>
    <row r="582" ht="14.25" customHeight="1">
      <c r="G582" s="55"/>
    </row>
    <row r="583" ht="14.25" customHeight="1">
      <c r="G583" s="55"/>
    </row>
    <row r="584" ht="14.25" customHeight="1">
      <c r="G584" s="55"/>
    </row>
    <row r="585" ht="14.25" customHeight="1">
      <c r="G585" s="55"/>
    </row>
    <row r="586" ht="14.25" customHeight="1">
      <c r="G586" s="55"/>
    </row>
    <row r="587" ht="14.25" customHeight="1">
      <c r="G587" s="55"/>
    </row>
    <row r="588" ht="14.25" customHeight="1">
      <c r="G588" s="55"/>
    </row>
    <row r="589" ht="14.25" customHeight="1">
      <c r="G589" s="55"/>
    </row>
    <row r="590" ht="14.25" customHeight="1">
      <c r="G590" s="55"/>
    </row>
    <row r="591" ht="14.25" customHeight="1">
      <c r="G591" s="55"/>
    </row>
    <row r="592" ht="14.25" customHeight="1">
      <c r="G592" s="55"/>
    </row>
    <row r="593" ht="14.25" customHeight="1">
      <c r="G593" s="55"/>
    </row>
    <row r="594" ht="14.25" customHeight="1">
      <c r="G594" s="55"/>
    </row>
    <row r="595" ht="14.25" customHeight="1">
      <c r="G595" s="55"/>
    </row>
    <row r="596" ht="14.25" customHeight="1">
      <c r="G596" s="55"/>
    </row>
    <row r="597" ht="14.25" customHeight="1">
      <c r="G597" s="55"/>
    </row>
    <row r="598" ht="14.25" customHeight="1">
      <c r="G598" s="55"/>
    </row>
    <row r="599" ht="14.25" customHeight="1">
      <c r="G599" s="55"/>
    </row>
    <row r="600" ht="14.25" customHeight="1">
      <c r="G600" s="55"/>
    </row>
    <row r="601" ht="14.25" customHeight="1">
      <c r="G601" s="55"/>
    </row>
    <row r="602" ht="14.25" customHeight="1">
      <c r="G602" s="55"/>
    </row>
    <row r="603" ht="14.25" customHeight="1">
      <c r="G603" s="55"/>
    </row>
    <row r="604" ht="14.25" customHeight="1">
      <c r="G604" s="55"/>
    </row>
    <row r="605" ht="14.25" customHeight="1">
      <c r="G605" s="55"/>
    </row>
    <row r="606" ht="14.25" customHeight="1">
      <c r="G606" s="55"/>
    </row>
    <row r="607" ht="14.25" customHeight="1">
      <c r="G607" s="55"/>
    </row>
    <row r="608" ht="14.25" customHeight="1">
      <c r="G608" s="55"/>
    </row>
    <row r="609" ht="14.25" customHeight="1">
      <c r="G609" s="55"/>
    </row>
    <row r="610" ht="14.25" customHeight="1">
      <c r="G610" s="55"/>
    </row>
    <row r="611" ht="14.25" customHeight="1">
      <c r="G611" s="55"/>
    </row>
    <row r="612" ht="14.25" customHeight="1">
      <c r="G612" s="55"/>
    </row>
    <row r="613" ht="14.25" customHeight="1">
      <c r="G613" s="55"/>
    </row>
    <row r="614" ht="14.25" customHeight="1">
      <c r="G614" s="55"/>
    </row>
    <row r="615" ht="14.25" customHeight="1">
      <c r="G615" s="55"/>
    </row>
    <row r="616" ht="14.25" customHeight="1">
      <c r="G616" s="55"/>
    </row>
    <row r="617" ht="14.25" customHeight="1">
      <c r="G617" s="55"/>
    </row>
    <row r="618" ht="14.25" customHeight="1">
      <c r="G618" s="55"/>
    </row>
    <row r="619" ht="14.25" customHeight="1">
      <c r="G619" s="55"/>
    </row>
    <row r="620" ht="14.25" customHeight="1">
      <c r="G620" s="55"/>
    </row>
    <row r="621" ht="14.25" customHeight="1">
      <c r="G621" s="55"/>
    </row>
    <row r="622" ht="14.25" customHeight="1">
      <c r="G622" s="55"/>
    </row>
    <row r="623" ht="14.25" customHeight="1">
      <c r="G623" s="55"/>
    </row>
    <row r="624" ht="14.25" customHeight="1">
      <c r="G624" s="55"/>
    </row>
    <row r="625" ht="14.25" customHeight="1">
      <c r="G625" s="55"/>
    </row>
    <row r="626" ht="14.25" customHeight="1">
      <c r="G626" s="55"/>
    </row>
    <row r="627" ht="14.25" customHeight="1">
      <c r="G627" s="55"/>
    </row>
    <row r="628" ht="14.25" customHeight="1">
      <c r="G628" s="55"/>
    </row>
    <row r="629" ht="14.25" customHeight="1">
      <c r="G629" s="55"/>
    </row>
    <row r="630" ht="14.25" customHeight="1">
      <c r="G630" s="55"/>
    </row>
    <row r="631" ht="14.25" customHeight="1">
      <c r="G631" s="55"/>
    </row>
    <row r="632" ht="14.25" customHeight="1">
      <c r="G632" s="55"/>
    </row>
    <row r="633" ht="14.25" customHeight="1">
      <c r="G633" s="55"/>
    </row>
    <row r="634" ht="14.25" customHeight="1">
      <c r="G634" s="55"/>
    </row>
    <row r="635" ht="14.25" customHeight="1">
      <c r="G635" s="55"/>
    </row>
    <row r="636" ht="14.25" customHeight="1">
      <c r="G636" s="55"/>
    </row>
    <row r="637" ht="14.25" customHeight="1">
      <c r="G637" s="55"/>
    </row>
    <row r="638" ht="14.25" customHeight="1">
      <c r="G638" s="55"/>
    </row>
    <row r="639" ht="14.25" customHeight="1">
      <c r="G639" s="55"/>
    </row>
    <row r="640" ht="14.25" customHeight="1">
      <c r="G640" s="55"/>
    </row>
    <row r="641" ht="14.25" customHeight="1">
      <c r="G641" s="55"/>
    </row>
    <row r="642" ht="14.25" customHeight="1">
      <c r="G642" s="55"/>
    </row>
    <row r="643" ht="14.25" customHeight="1">
      <c r="G643" s="55"/>
    </row>
    <row r="644" ht="14.25" customHeight="1">
      <c r="G644" s="55"/>
    </row>
    <row r="645" ht="14.25" customHeight="1">
      <c r="G645" s="55"/>
    </row>
    <row r="646" ht="14.25" customHeight="1">
      <c r="G646" s="55"/>
    </row>
    <row r="647" ht="14.25" customHeight="1">
      <c r="G647" s="55"/>
    </row>
    <row r="648" ht="14.25" customHeight="1">
      <c r="G648" s="55"/>
    </row>
    <row r="649" ht="14.25" customHeight="1">
      <c r="G649" s="55"/>
    </row>
    <row r="650" ht="14.25" customHeight="1">
      <c r="G650" s="55"/>
    </row>
    <row r="651" ht="14.25" customHeight="1">
      <c r="G651" s="55"/>
    </row>
    <row r="652" ht="14.25" customHeight="1">
      <c r="G652" s="55"/>
    </row>
    <row r="653" ht="14.25" customHeight="1">
      <c r="G653" s="55"/>
    </row>
    <row r="654" ht="14.25" customHeight="1">
      <c r="G654" s="55"/>
    </row>
    <row r="655" ht="14.25" customHeight="1">
      <c r="G655" s="55"/>
    </row>
    <row r="656" ht="14.25" customHeight="1">
      <c r="G656" s="55"/>
    </row>
    <row r="657" ht="14.25" customHeight="1">
      <c r="G657" s="55"/>
    </row>
    <row r="658" ht="14.25" customHeight="1">
      <c r="G658" s="55"/>
    </row>
    <row r="659" ht="14.25" customHeight="1">
      <c r="G659" s="55"/>
    </row>
    <row r="660" ht="14.25" customHeight="1">
      <c r="G660" s="55"/>
    </row>
    <row r="661" ht="14.25" customHeight="1">
      <c r="G661" s="55"/>
    </row>
    <row r="662" ht="14.25" customHeight="1">
      <c r="G662" s="55"/>
    </row>
    <row r="663" ht="14.25" customHeight="1">
      <c r="G663" s="55"/>
    </row>
    <row r="664" ht="14.25" customHeight="1">
      <c r="G664" s="55"/>
    </row>
    <row r="665" ht="14.25" customHeight="1">
      <c r="G665" s="55"/>
    </row>
    <row r="666" ht="14.25" customHeight="1">
      <c r="G666" s="55"/>
    </row>
    <row r="667" ht="14.25" customHeight="1">
      <c r="G667" s="55"/>
    </row>
    <row r="668" ht="14.25" customHeight="1">
      <c r="G668" s="55"/>
    </row>
    <row r="669" ht="14.25" customHeight="1">
      <c r="G669" s="55"/>
    </row>
    <row r="670" ht="14.25" customHeight="1">
      <c r="G670" s="55"/>
    </row>
    <row r="671" ht="14.25" customHeight="1">
      <c r="G671" s="55"/>
    </row>
    <row r="672" ht="14.25" customHeight="1">
      <c r="G672" s="55"/>
    </row>
    <row r="673" ht="14.25" customHeight="1">
      <c r="G673" s="55"/>
    </row>
    <row r="674" ht="14.25" customHeight="1">
      <c r="G674" s="55"/>
    </row>
    <row r="675" ht="14.25" customHeight="1">
      <c r="G675" s="55"/>
    </row>
    <row r="676" ht="14.25" customHeight="1">
      <c r="G676" s="55"/>
    </row>
    <row r="677" ht="14.25" customHeight="1">
      <c r="G677" s="55"/>
    </row>
    <row r="678" ht="14.25" customHeight="1">
      <c r="G678" s="55"/>
    </row>
    <row r="679" ht="14.25" customHeight="1">
      <c r="G679" s="55"/>
    </row>
    <row r="680" ht="14.25" customHeight="1">
      <c r="G680" s="55"/>
    </row>
    <row r="681" ht="14.25" customHeight="1">
      <c r="G681" s="55"/>
    </row>
    <row r="682" ht="14.25" customHeight="1">
      <c r="G682" s="55"/>
    </row>
    <row r="683" ht="14.25" customHeight="1">
      <c r="G683" s="55"/>
    </row>
    <row r="684" ht="14.25" customHeight="1">
      <c r="G684" s="55"/>
    </row>
    <row r="685" ht="14.25" customHeight="1">
      <c r="G685" s="55"/>
    </row>
    <row r="686" ht="14.25" customHeight="1">
      <c r="G686" s="55"/>
    </row>
    <row r="687" ht="14.25" customHeight="1">
      <c r="G687" s="55"/>
    </row>
    <row r="688" ht="14.25" customHeight="1">
      <c r="G688" s="55"/>
    </row>
    <row r="689" ht="14.25" customHeight="1">
      <c r="G689" s="55"/>
    </row>
    <row r="690" ht="14.25" customHeight="1">
      <c r="G690" s="55"/>
    </row>
    <row r="691" ht="14.25" customHeight="1">
      <c r="G691" s="55"/>
    </row>
    <row r="692" ht="14.25" customHeight="1">
      <c r="G692" s="55"/>
    </row>
    <row r="693" ht="14.25" customHeight="1">
      <c r="G693" s="55"/>
    </row>
    <row r="694" ht="14.25" customHeight="1">
      <c r="G694" s="55"/>
    </row>
    <row r="695" ht="14.25" customHeight="1">
      <c r="G695" s="55"/>
    </row>
    <row r="696" ht="14.25" customHeight="1">
      <c r="G696" s="55"/>
    </row>
    <row r="697" ht="14.25" customHeight="1">
      <c r="G697" s="55"/>
    </row>
    <row r="698" ht="14.25" customHeight="1">
      <c r="G698" s="55"/>
    </row>
    <row r="699" ht="14.25" customHeight="1">
      <c r="G699" s="55"/>
    </row>
    <row r="700" ht="14.25" customHeight="1">
      <c r="G700" s="55"/>
    </row>
    <row r="701" ht="14.25" customHeight="1">
      <c r="G701" s="55"/>
    </row>
    <row r="702" ht="14.25" customHeight="1">
      <c r="G702" s="55"/>
    </row>
    <row r="703" ht="14.25" customHeight="1">
      <c r="G703" s="55"/>
    </row>
    <row r="704" ht="14.25" customHeight="1">
      <c r="G704" s="55"/>
    </row>
    <row r="705" ht="14.25" customHeight="1">
      <c r="G705" s="55"/>
    </row>
    <row r="706" ht="14.25" customHeight="1">
      <c r="G706" s="55"/>
    </row>
    <row r="707" ht="14.25" customHeight="1">
      <c r="G707" s="55"/>
    </row>
    <row r="708" ht="14.25" customHeight="1">
      <c r="G708" s="55"/>
    </row>
    <row r="709" ht="14.25" customHeight="1">
      <c r="G709" s="55"/>
    </row>
    <row r="710" ht="14.25" customHeight="1">
      <c r="G710" s="55"/>
    </row>
    <row r="711" ht="14.25" customHeight="1">
      <c r="G711" s="55"/>
    </row>
    <row r="712" ht="14.25" customHeight="1">
      <c r="G712" s="55"/>
    </row>
    <row r="713" ht="14.25" customHeight="1">
      <c r="G713" s="55"/>
    </row>
    <row r="714" ht="14.25" customHeight="1">
      <c r="G714" s="55"/>
    </row>
    <row r="715" ht="14.25" customHeight="1">
      <c r="G715" s="55"/>
    </row>
    <row r="716" ht="14.25" customHeight="1">
      <c r="G716" s="55"/>
    </row>
    <row r="717" ht="14.25" customHeight="1">
      <c r="G717" s="55"/>
    </row>
    <row r="718" ht="14.25" customHeight="1">
      <c r="G718" s="55"/>
    </row>
    <row r="719" ht="14.25" customHeight="1">
      <c r="G719" s="55"/>
    </row>
    <row r="720" ht="14.25" customHeight="1">
      <c r="G720" s="55"/>
    </row>
    <row r="721" ht="14.25" customHeight="1">
      <c r="G721" s="55"/>
    </row>
    <row r="722" ht="14.25" customHeight="1">
      <c r="G722" s="55"/>
    </row>
    <row r="723" ht="14.25" customHeight="1">
      <c r="G723" s="55"/>
    </row>
    <row r="724" ht="14.25" customHeight="1">
      <c r="G724" s="55"/>
    </row>
    <row r="725" ht="14.25" customHeight="1">
      <c r="G725" s="55"/>
    </row>
    <row r="726" ht="14.25" customHeight="1">
      <c r="G726" s="55"/>
    </row>
    <row r="727" ht="14.25" customHeight="1">
      <c r="G727" s="55"/>
    </row>
    <row r="728" ht="14.25" customHeight="1">
      <c r="G728" s="55"/>
    </row>
    <row r="729" ht="14.25" customHeight="1">
      <c r="G729" s="55"/>
    </row>
    <row r="730" ht="14.25" customHeight="1">
      <c r="G730" s="55"/>
    </row>
    <row r="731" ht="14.25" customHeight="1">
      <c r="G731" s="55"/>
    </row>
    <row r="732" ht="14.25" customHeight="1">
      <c r="G732" s="55"/>
    </row>
    <row r="733" ht="14.25" customHeight="1">
      <c r="G733" s="55"/>
    </row>
    <row r="734" ht="14.25" customHeight="1">
      <c r="G734" s="55"/>
    </row>
    <row r="735" ht="14.25" customHeight="1">
      <c r="G735" s="55"/>
    </row>
    <row r="736" ht="14.25" customHeight="1">
      <c r="G736" s="55"/>
    </row>
    <row r="737" ht="14.25" customHeight="1">
      <c r="G737" s="55"/>
    </row>
    <row r="738" ht="14.25" customHeight="1">
      <c r="G738" s="55"/>
    </row>
    <row r="739" ht="14.25" customHeight="1">
      <c r="G739" s="55"/>
    </row>
    <row r="740" ht="14.25" customHeight="1">
      <c r="G740" s="55"/>
    </row>
    <row r="741" ht="14.25" customHeight="1">
      <c r="G741" s="55"/>
    </row>
    <row r="742" ht="14.25" customHeight="1">
      <c r="G742" s="55"/>
    </row>
    <row r="743" ht="14.25" customHeight="1">
      <c r="G743" s="55"/>
    </row>
    <row r="744" ht="14.25" customHeight="1">
      <c r="G744" s="55"/>
    </row>
    <row r="745" ht="14.25" customHeight="1">
      <c r="G745" s="55"/>
    </row>
    <row r="746" ht="14.25" customHeight="1">
      <c r="G746" s="55"/>
    </row>
    <row r="747" ht="14.25" customHeight="1">
      <c r="G747" s="55"/>
    </row>
    <row r="748" ht="14.25" customHeight="1">
      <c r="G748" s="55"/>
    </row>
    <row r="749" ht="14.25" customHeight="1">
      <c r="G749" s="55"/>
    </row>
    <row r="750" ht="14.25" customHeight="1">
      <c r="G750" s="55"/>
    </row>
    <row r="751" ht="14.25" customHeight="1">
      <c r="G751" s="55"/>
    </row>
    <row r="752" ht="14.25" customHeight="1">
      <c r="G752" s="55"/>
    </row>
    <row r="753" ht="14.25" customHeight="1">
      <c r="G753" s="55"/>
    </row>
    <row r="754" ht="14.25" customHeight="1">
      <c r="G754" s="55"/>
    </row>
    <row r="755" ht="14.25" customHeight="1">
      <c r="G755" s="55"/>
    </row>
    <row r="756" ht="14.25" customHeight="1">
      <c r="G756" s="55"/>
    </row>
    <row r="757" ht="14.25" customHeight="1">
      <c r="G757" s="55"/>
    </row>
    <row r="758" ht="14.25" customHeight="1">
      <c r="G758" s="55"/>
    </row>
    <row r="759" ht="14.25" customHeight="1">
      <c r="G759" s="55"/>
    </row>
    <row r="760" ht="14.25" customHeight="1">
      <c r="G760" s="55"/>
    </row>
    <row r="761" ht="14.25" customHeight="1">
      <c r="G761" s="55"/>
    </row>
    <row r="762" ht="14.25" customHeight="1">
      <c r="G762" s="55"/>
    </row>
    <row r="763" ht="14.25" customHeight="1">
      <c r="G763" s="55"/>
    </row>
    <row r="764" ht="14.25" customHeight="1">
      <c r="G764" s="55"/>
    </row>
    <row r="765" ht="14.25" customHeight="1">
      <c r="G765" s="55"/>
    </row>
    <row r="766" ht="14.25" customHeight="1">
      <c r="G766" s="55"/>
    </row>
    <row r="767" ht="14.25" customHeight="1">
      <c r="G767" s="55"/>
    </row>
    <row r="768" ht="14.25" customHeight="1">
      <c r="G768" s="55"/>
    </row>
    <row r="769" ht="14.25" customHeight="1">
      <c r="G769" s="55"/>
    </row>
    <row r="770" ht="14.25" customHeight="1">
      <c r="G770" s="55"/>
    </row>
    <row r="771" ht="14.25" customHeight="1">
      <c r="G771" s="55"/>
    </row>
    <row r="772" ht="14.25" customHeight="1">
      <c r="G772" s="55"/>
    </row>
    <row r="773" ht="14.25" customHeight="1">
      <c r="G773" s="55"/>
    </row>
    <row r="774" ht="14.25" customHeight="1">
      <c r="G774" s="55"/>
    </row>
    <row r="775" ht="14.25" customHeight="1">
      <c r="G775" s="55"/>
    </row>
    <row r="776" ht="14.25" customHeight="1">
      <c r="G776" s="55"/>
    </row>
    <row r="777" ht="14.25" customHeight="1">
      <c r="G777" s="55"/>
    </row>
    <row r="778" ht="14.25" customHeight="1">
      <c r="G778" s="55"/>
    </row>
    <row r="779" ht="14.25" customHeight="1">
      <c r="G779" s="55"/>
    </row>
    <row r="780" ht="14.25" customHeight="1">
      <c r="G780" s="55"/>
    </row>
    <row r="781" ht="14.25" customHeight="1">
      <c r="G781" s="55"/>
    </row>
    <row r="782" ht="14.25" customHeight="1">
      <c r="G782" s="55"/>
    </row>
    <row r="783" ht="14.25" customHeight="1">
      <c r="G783" s="55"/>
    </row>
    <row r="784" ht="14.25" customHeight="1">
      <c r="G784" s="55"/>
    </row>
    <row r="785" ht="14.25" customHeight="1">
      <c r="G785" s="55"/>
    </row>
    <row r="786" ht="14.25" customHeight="1">
      <c r="G786" s="55"/>
    </row>
    <row r="787" ht="14.25" customHeight="1">
      <c r="G787" s="55"/>
    </row>
    <row r="788" ht="14.25" customHeight="1">
      <c r="G788" s="55"/>
    </row>
    <row r="789" ht="14.25" customHeight="1">
      <c r="G789" s="55"/>
    </row>
    <row r="790" ht="14.25" customHeight="1">
      <c r="G790" s="55"/>
    </row>
    <row r="791" ht="14.25" customHeight="1">
      <c r="G791" s="55"/>
    </row>
    <row r="792" ht="14.25" customHeight="1">
      <c r="G792" s="55"/>
    </row>
    <row r="793" ht="14.25" customHeight="1">
      <c r="G793" s="55"/>
    </row>
    <row r="794" ht="14.25" customHeight="1">
      <c r="G794" s="55"/>
    </row>
    <row r="795" ht="14.25" customHeight="1">
      <c r="G795" s="55"/>
    </row>
    <row r="796" ht="14.25" customHeight="1">
      <c r="G796" s="55"/>
    </row>
    <row r="797" ht="14.25" customHeight="1">
      <c r="G797" s="55"/>
    </row>
    <row r="798" ht="14.25" customHeight="1">
      <c r="G798" s="55"/>
    </row>
    <row r="799" ht="14.25" customHeight="1">
      <c r="G799" s="55"/>
    </row>
    <row r="800" ht="14.25" customHeight="1">
      <c r="G800" s="55"/>
    </row>
    <row r="801" ht="14.25" customHeight="1">
      <c r="G801" s="55"/>
    </row>
    <row r="802" ht="14.25" customHeight="1">
      <c r="G802" s="55"/>
    </row>
    <row r="803" ht="14.25" customHeight="1">
      <c r="G803" s="55"/>
    </row>
    <row r="804" ht="14.25" customHeight="1">
      <c r="G804" s="55"/>
    </row>
    <row r="805" ht="14.25" customHeight="1">
      <c r="G805" s="55"/>
    </row>
    <row r="806" ht="14.25" customHeight="1">
      <c r="G806" s="55"/>
    </row>
    <row r="807" ht="14.25" customHeight="1">
      <c r="G807" s="55"/>
    </row>
    <row r="808" ht="14.25" customHeight="1">
      <c r="G808" s="55"/>
    </row>
    <row r="809" ht="14.25" customHeight="1">
      <c r="G809" s="55"/>
    </row>
    <row r="810" ht="14.25" customHeight="1">
      <c r="G810" s="55"/>
    </row>
    <row r="811" ht="14.25" customHeight="1">
      <c r="G811" s="55"/>
    </row>
    <row r="812" ht="14.25" customHeight="1">
      <c r="G812" s="55"/>
    </row>
    <row r="813" ht="14.25" customHeight="1">
      <c r="G813" s="55"/>
    </row>
    <row r="814" ht="14.25" customHeight="1">
      <c r="G814" s="55"/>
    </row>
    <row r="815" ht="14.25" customHeight="1">
      <c r="G815" s="55"/>
    </row>
    <row r="816" ht="14.25" customHeight="1">
      <c r="G816" s="55"/>
    </row>
    <row r="817" ht="14.25" customHeight="1">
      <c r="G817" s="55"/>
    </row>
    <row r="818" ht="14.25" customHeight="1">
      <c r="G818" s="55"/>
    </row>
    <row r="819" ht="14.25" customHeight="1">
      <c r="G819" s="55"/>
    </row>
    <row r="820" ht="14.25" customHeight="1">
      <c r="G820" s="55"/>
    </row>
    <row r="821" ht="14.25" customHeight="1">
      <c r="G821" s="55"/>
    </row>
    <row r="822" ht="14.25" customHeight="1">
      <c r="G822" s="55"/>
    </row>
    <row r="823" ht="14.25" customHeight="1">
      <c r="G823" s="55"/>
    </row>
    <row r="824" ht="14.25" customHeight="1">
      <c r="G824" s="55"/>
    </row>
    <row r="825" ht="14.25" customHeight="1">
      <c r="G825" s="55"/>
    </row>
    <row r="826" ht="14.25" customHeight="1">
      <c r="G826" s="55"/>
    </row>
    <row r="827" ht="14.25" customHeight="1">
      <c r="G827" s="55"/>
    </row>
    <row r="828" ht="14.25" customHeight="1">
      <c r="G828" s="55"/>
    </row>
    <row r="829" ht="14.25" customHeight="1">
      <c r="G829" s="55"/>
    </row>
    <row r="830" ht="14.25" customHeight="1">
      <c r="G830" s="55"/>
    </row>
    <row r="831" ht="14.25" customHeight="1">
      <c r="G831" s="55"/>
    </row>
    <row r="832" ht="14.25" customHeight="1">
      <c r="G832" s="55"/>
    </row>
    <row r="833" ht="14.25" customHeight="1">
      <c r="G833" s="55"/>
    </row>
    <row r="834" ht="14.25" customHeight="1">
      <c r="G834" s="55"/>
    </row>
    <row r="835" ht="14.25" customHeight="1">
      <c r="G835" s="55"/>
    </row>
    <row r="836" ht="14.25" customHeight="1">
      <c r="G836" s="55"/>
    </row>
    <row r="837" ht="14.25" customHeight="1">
      <c r="G837" s="55"/>
    </row>
    <row r="838" ht="14.25" customHeight="1">
      <c r="G838" s="55"/>
    </row>
    <row r="839" ht="14.25" customHeight="1">
      <c r="G839" s="55"/>
    </row>
    <row r="840" ht="14.25" customHeight="1">
      <c r="G840" s="55"/>
    </row>
    <row r="841" ht="14.25" customHeight="1">
      <c r="G841" s="55"/>
    </row>
    <row r="842" ht="14.25" customHeight="1">
      <c r="G842" s="55"/>
    </row>
    <row r="843" ht="14.25" customHeight="1">
      <c r="G843" s="55"/>
    </row>
    <row r="844" ht="14.25" customHeight="1">
      <c r="G844" s="55"/>
    </row>
    <row r="845" ht="14.25" customHeight="1">
      <c r="G845" s="55"/>
    </row>
    <row r="846" ht="14.25" customHeight="1">
      <c r="G846" s="55"/>
    </row>
    <row r="847" ht="14.25" customHeight="1">
      <c r="G847" s="55"/>
    </row>
    <row r="848" ht="14.25" customHeight="1">
      <c r="G848" s="55"/>
    </row>
    <row r="849" ht="14.25" customHeight="1">
      <c r="G849" s="55"/>
    </row>
    <row r="850" ht="14.25" customHeight="1">
      <c r="G850" s="55"/>
    </row>
    <row r="851" ht="14.25" customHeight="1">
      <c r="G851" s="55"/>
    </row>
    <row r="852" ht="14.25" customHeight="1">
      <c r="G852" s="55"/>
    </row>
    <row r="853" ht="14.25" customHeight="1">
      <c r="G853" s="55"/>
    </row>
    <row r="854" ht="14.25" customHeight="1">
      <c r="G854" s="55"/>
    </row>
    <row r="855" ht="14.25" customHeight="1">
      <c r="G855" s="55"/>
    </row>
    <row r="856" ht="14.25" customHeight="1">
      <c r="G856" s="55"/>
    </row>
    <row r="857" ht="14.25" customHeight="1">
      <c r="G857" s="55"/>
    </row>
    <row r="858" ht="14.25" customHeight="1">
      <c r="G858" s="55"/>
    </row>
    <row r="859" ht="14.25" customHeight="1">
      <c r="G859" s="55"/>
    </row>
    <row r="860" ht="14.25" customHeight="1">
      <c r="G860" s="55"/>
    </row>
    <row r="861" ht="14.25" customHeight="1">
      <c r="G861" s="55"/>
    </row>
    <row r="862" ht="14.25" customHeight="1">
      <c r="G862" s="55"/>
    </row>
    <row r="863" ht="14.25" customHeight="1">
      <c r="G863" s="55"/>
    </row>
    <row r="864" ht="14.25" customHeight="1">
      <c r="G864" s="55"/>
    </row>
    <row r="865" ht="14.25" customHeight="1">
      <c r="G865" s="55"/>
    </row>
    <row r="866" ht="14.25" customHeight="1">
      <c r="G866" s="55"/>
    </row>
    <row r="867" ht="14.25" customHeight="1">
      <c r="G867" s="55"/>
    </row>
    <row r="868" ht="14.25" customHeight="1">
      <c r="G868" s="55"/>
    </row>
    <row r="869" ht="14.25" customHeight="1">
      <c r="G869" s="55"/>
    </row>
    <row r="870" ht="14.25" customHeight="1">
      <c r="G870" s="55"/>
    </row>
    <row r="871" ht="14.25" customHeight="1">
      <c r="G871" s="55"/>
    </row>
    <row r="872" ht="14.25" customHeight="1">
      <c r="G872" s="55"/>
    </row>
    <row r="873" ht="14.25" customHeight="1">
      <c r="G873" s="55"/>
    </row>
    <row r="874" ht="14.25" customHeight="1">
      <c r="G874" s="55"/>
    </row>
    <row r="875" ht="14.25" customHeight="1">
      <c r="G875" s="55"/>
    </row>
    <row r="876" ht="14.25" customHeight="1">
      <c r="G876" s="55"/>
    </row>
    <row r="877" ht="14.25" customHeight="1">
      <c r="G877" s="55"/>
    </row>
    <row r="878" ht="14.25" customHeight="1">
      <c r="G878" s="55"/>
    </row>
    <row r="879" ht="14.25" customHeight="1">
      <c r="G879" s="55"/>
    </row>
    <row r="880" ht="14.25" customHeight="1">
      <c r="G880" s="55"/>
    </row>
    <row r="881" ht="14.25" customHeight="1">
      <c r="G881" s="55"/>
    </row>
    <row r="882" ht="14.25" customHeight="1">
      <c r="G882" s="55"/>
    </row>
    <row r="883" ht="14.25" customHeight="1">
      <c r="G883" s="55"/>
    </row>
    <row r="884" ht="14.25" customHeight="1">
      <c r="G884" s="55"/>
    </row>
    <row r="885" ht="14.25" customHeight="1">
      <c r="G885" s="55"/>
    </row>
    <row r="886" ht="14.25" customHeight="1">
      <c r="G886" s="55"/>
    </row>
    <row r="887" ht="14.25" customHeight="1">
      <c r="G887" s="55"/>
    </row>
    <row r="888" ht="14.25" customHeight="1">
      <c r="G888" s="55"/>
    </row>
    <row r="889" ht="14.25" customHeight="1">
      <c r="G889" s="55"/>
    </row>
    <row r="890" ht="14.25" customHeight="1">
      <c r="G890" s="55"/>
    </row>
    <row r="891" ht="14.25" customHeight="1">
      <c r="G891" s="55"/>
    </row>
    <row r="892" ht="14.25" customHeight="1">
      <c r="G892" s="55"/>
    </row>
    <row r="893" ht="14.25" customHeight="1">
      <c r="G893" s="55"/>
    </row>
    <row r="894" ht="14.25" customHeight="1">
      <c r="G894" s="55"/>
    </row>
    <row r="895" ht="14.25" customHeight="1">
      <c r="G895" s="55"/>
    </row>
    <row r="896" ht="14.25" customHeight="1">
      <c r="G896" s="55"/>
    </row>
    <row r="897" ht="14.25" customHeight="1">
      <c r="G897" s="55"/>
    </row>
    <row r="898" ht="14.25" customHeight="1">
      <c r="G898" s="55"/>
    </row>
    <row r="899" ht="14.25" customHeight="1">
      <c r="G899" s="55"/>
    </row>
    <row r="900" ht="14.25" customHeight="1">
      <c r="G900" s="55"/>
    </row>
    <row r="901" ht="14.25" customHeight="1">
      <c r="G901" s="55"/>
    </row>
    <row r="902" ht="14.25" customHeight="1">
      <c r="G902" s="55"/>
    </row>
    <row r="903" ht="14.25" customHeight="1">
      <c r="G903" s="55"/>
    </row>
    <row r="904" ht="14.25" customHeight="1">
      <c r="G904" s="55"/>
    </row>
    <row r="905" ht="14.25" customHeight="1">
      <c r="G905" s="55"/>
    </row>
    <row r="906" ht="14.25" customHeight="1">
      <c r="G906" s="55"/>
    </row>
    <row r="907" ht="14.25" customHeight="1">
      <c r="G907" s="55"/>
    </row>
    <row r="908" ht="14.25" customHeight="1">
      <c r="G908" s="55"/>
    </row>
  </sheetData>
  <mergeCells count="6">
    <mergeCell ref="F6:G6"/>
    <mergeCell ref="F7:G7"/>
    <mergeCell ref="B9:B12"/>
    <mergeCell ref="B15:B18"/>
    <mergeCell ref="B20:B21"/>
    <mergeCell ref="B48:C48"/>
  </mergeCells>
  <conditionalFormatting sqref="C1">
    <cfRule type="notContainsBlanks" dxfId="8" priority="1">
      <formula>LEN(TRIM(C1))&gt;0</formula>
    </cfRule>
  </conditionalFormatting>
  <dataValidations>
    <dataValidation type="list" allowBlank="1" sqref="C35">
      <formula1>"Gross Margin,Net Margin"</formula1>
    </dataValidation>
    <dataValidation type="list" allowBlank="1" sqref="C3">
      <formula1>"Nómina,Prestación de Servicios,Deel/Ontop"</formula1>
    </dataValidation>
    <dataValidation type="list" allowBlank="1" showErrorMessage="1" sqref="D24:D31">
      <formula1>"Nómina,P. Servicios"</formula1>
    </dataValidation>
    <dataValidation type="list" allowBlank="1" sqref="B24:B31">
      <formula1>'Parámetros'!$A$2:$A$113</formula1>
    </dataValidation>
    <dataValidation type="list" allowBlank="1" sqref="C2">
      <formula1>'Parámetros'!$A$118:$A$123</formula1>
    </dataValidation>
    <dataValidation type="list" allowBlank="1" sqref="D35">
      <formula1>"COP,USD"</formula1>
    </dataValidation>
  </dataValidations>
  <printOptions/>
  <pageMargins bottom="0.75" footer="0.0" header="0.0" left="0.7" right="0.7" top="0.75"/>
  <pageSetup orientation="portrait"/>
  <drawing r:id="rId1"/>
  <tableParts count="3">
    <tablePart r:id="rId5"/>
    <tablePart r:id="rId6"/>
    <tablePart r:id="rId7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3.29"/>
    <col customWidth="1" min="2" max="2" width="32.71"/>
    <col customWidth="1" min="3" max="3" width="26.43"/>
    <col customWidth="1" min="4" max="4" width="17.0"/>
    <col customWidth="1" min="5" max="7" width="14.86"/>
    <col customWidth="1" min="8" max="8" width="16.14"/>
    <col customWidth="1" min="9" max="10" width="14.86"/>
    <col customWidth="1" min="11" max="11" width="34.29"/>
    <col customWidth="1" min="12" max="12" width="17.29"/>
    <col customWidth="1" min="13" max="13" width="15.57"/>
    <col customWidth="1" min="14" max="14" width="10.71"/>
    <col customWidth="1" min="15" max="15" width="23.14"/>
    <col customWidth="1" min="16" max="16" width="17.57"/>
    <col customWidth="1" min="17" max="17" width="15.71"/>
    <col customWidth="1" min="18" max="18" width="18.86"/>
    <col customWidth="1" hidden="1" min="19" max="19" width="13.71"/>
    <col customWidth="1" hidden="1" min="20" max="20" width="13.43"/>
    <col customWidth="1" hidden="1" min="21" max="31" width="10.71"/>
  </cols>
  <sheetData>
    <row r="1" ht="31.5" hidden="1" customHeight="1">
      <c r="A1" s="200"/>
      <c r="B1" s="353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"/>
      <c r="P1" s="5" t="s">
        <v>1</v>
      </c>
      <c r="Q1" s="6" t="s">
        <v>2</v>
      </c>
    </row>
    <row r="2" ht="31.5" hidden="1" customHeight="1">
      <c r="A2" s="200"/>
      <c r="B2" s="354"/>
      <c r="C2" s="7"/>
      <c r="O2" s="8"/>
      <c r="P2" s="9" t="s">
        <v>3</v>
      </c>
      <c r="Q2" s="10">
        <v>1.0</v>
      </c>
    </row>
    <row r="3" ht="31.5" hidden="1" customHeight="1">
      <c r="A3" s="200"/>
      <c r="B3" s="355"/>
      <c r="C3" s="11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2"/>
      <c r="P3" s="9" t="s">
        <v>4</v>
      </c>
      <c r="Q3" s="14">
        <v>44171.0</v>
      </c>
    </row>
    <row r="4" ht="14.25" customHeight="1">
      <c r="B4" s="15"/>
      <c r="E4" s="90"/>
      <c r="F4" s="91"/>
      <c r="G4" s="235"/>
      <c r="H4" s="241"/>
      <c r="I4" s="356"/>
      <c r="K4" s="22"/>
      <c r="L4" s="23"/>
      <c r="M4" s="24"/>
      <c r="N4" s="24"/>
    </row>
    <row r="5" ht="14.25" customHeight="1">
      <c r="B5" s="357" t="s">
        <v>211</v>
      </c>
      <c r="C5" s="357" t="s">
        <v>212</v>
      </c>
      <c r="K5" s="22"/>
      <c r="L5" s="23"/>
      <c r="M5" s="24"/>
      <c r="N5" s="24"/>
    </row>
    <row r="6" ht="14.25" customHeight="1">
      <c r="B6" s="57" t="s">
        <v>95</v>
      </c>
      <c r="C6" s="323">
        <f>I17</f>
        <v>0</v>
      </c>
      <c r="K6" s="22"/>
      <c r="L6" s="23"/>
      <c r="M6" s="24"/>
      <c r="N6" s="24"/>
    </row>
    <row r="7" ht="14.25" customHeight="1">
      <c r="B7" s="16"/>
      <c r="K7" s="22"/>
      <c r="L7" s="23"/>
      <c r="M7" s="24"/>
      <c r="N7" s="24"/>
    </row>
    <row r="8" ht="14.25" customHeight="1">
      <c r="B8" s="357" t="s">
        <v>213</v>
      </c>
      <c r="C8" s="357" t="s">
        <v>212</v>
      </c>
      <c r="K8" s="22"/>
      <c r="L8" s="23"/>
      <c r="M8" s="24"/>
      <c r="N8" s="24"/>
    </row>
    <row r="9" ht="14.25" customHeight="1">
      <c r="B9" s="57" t="s">
        <v>214</v>
      </c>
      <c r="C9" s="264"/>
      <c r="K9" s="22"/>
      <c r="L9" s="23"/>
      <c r="M9" s="24"/>
      <c r="N9" s="24"/>
    </row>
    <row r="10" ht="14.25" customHeight="1">
      <c r="K10" s="22"/>
      <c r="L10" s="23"/>
      <c r="M10" s="24"/>
      <c r="N10" s="24"/>
    </row>
    <row r="11" ht="14.25" customHeight="1">
      <c r="B11" s="357" t="s">
        <v>215</v>
      </c>
      <c r="C11" s="357" t="s">
        <v>212</v>
      </c>
      <c r="K11" s="22"/>
      <c r="L11" s="23"/>
      <c r="M11" s="24"/>
      <c r="N11" s="24"/>
    </row>
    <row r="12" ht="14.25" customHeight="1">
      <c r="B12" s="57" t="s">
        <v>216</v>
      </c>
      <c r="C12" s="298"/>
      <c r="K12" s="22"/>
      <c r="L12" s="23"/>
      <c r="M12" s="24"/>
      <c r="N12" s="24"/>
    </row>
    <row r="13" ht="14.25" customHeight="1">
      <c r="B13" s="15"/>
      <c r="K13" s="22"/>
      <c r="L13" s="23"/>
      <c r="M13" s="24"/>
      <c r="N13" s="24"/>
    </row>
    <row r="14" ht="14.25" customHeight="1">
      <c r="B14" s="358" t="s">
        <v>211</v>
      </c>
      <c r="C14" s="30"/>
      <c r="K14" s="22"/>
      <c r="L14" s="23"/>
      <c r="M14" s="24"/>
      <c r="N14" s="24"/>
    </row>
    <row r="15" ht="14.25" customHeight="1">
      <c r="B15" s="15" t="s">
        <v>5</v>
      </c>
      <c r="K15" s="22"/>
      <c r="L15" s="23"/>
      <c r="M15" s="24"/>
      <c r="N15" s="24"/>
    </row>
    <row r="16" ht="14.25" customHeight="1">
      <c r="B16" s="25"/>
      <c r="K16" s="22"/>
      <c r="N16" s="28"/>
      <c r="O16" s="28"/>
      <c r="P16" s="28"/>
    </row>
    <row r="17" ht="14.25" customHeight="1" outlineLevel="1">
      <c r="B17" s="29" t="s">
        <v>11</v>
      </c>
      <c r="C17" s="30"/>
      <c r="E17" s="17" t="s">
        <v>6</v>
      </c>
      <c r="F17" s="18">
        <f>I17*C27</f>
        <v>0</v>
      </c>
      <c r="G17" s="19" t="s">
        <v>7</v>
      </c>
      <c r="H17" s="20" t="s">
        <v>8</v>
      </c>
      <c r="I17" s="21">
        <f>+((C22+C18+C20)/(1-F18-'Parámetros'!L8*C28))+'Parámetros'!L9*C28</f>
        <v>0</v>
      </c>
      <c r="K17" s="32"/>
      <c r="L17" s="33"/>
      <c r="N17" s="28"/>
      <c r="O17" s="28"/>
      <c r="P17" s="28"/>
    </row>
    <row r="18" ht="14.25" customHeight="1" outlineLevel="1">
      <c r="B18" s="34" t="s">
        <v>14</v>
      </c>
      <c r="C18" s="35" t="str">
        <f>C35</f>
        <v/>
      </c>
      <c r="E18" s="17" t="s">
        <v>9</v>
      </c>
      <c r="F18" s="26">
        <v>0.5</v>
      </c>
      <c r="G18" s="27"/>
      <c r="H18" s="20" t="s">
        <v>10</v>
      </c>
      <c r="I18" s="21">
        <f>I17/'Parámetros'!L3</f>
        <v>0</v>
      </c>
      <c r="K18" s="32"/>
      <c r="L18" s="37"/>
      <c r="M18" s="38"/>
      <c r="N18" s="39"/>
    </row>
    <row r="19" ht="14.25" customHeight="1" outlineLevel="1">
      <c r="B19" s="40" t="s">
        <v>17</v>
      </c>
      <c r="C19" s="41">
        <f>C21+C22+C20</f>
        <v>0</v>
      </c>
      <c r="E19" s="17" t="s">
        <v>12</v>
      </c>
      <c r="F19" s="18">
        <f>(I17-F17-C22)*'Parámetros'!L6</f>
        <v>0</v>
      </c>
      <c r="G19" s="27"/>
      <c r="H19" s="20" t="s">
        <v>13</v>
      </c>
      <c r="I19" s="31">
        <v>180.0</v>
      </c>
      <c r="K19" s="22"/>
      <c r="M19" s="44"/>
      <c r="N19" s="45"/>
    </row>
    <row r="20" ht="14.25" customHeight="1" outlineLevel="1">
      <c r="B20" s="34" t="s">
        <v>19</v>
      </c>
      <c r="C20" s="46">
        <f>6000000/30*C34*1.095</f>
        <v>0</v>
      </c>
      <c r="E20" s="17" t="s">
        <v>15</v>
      </c>
      <c r="F20" s="18">
        <f>I17*'Parámetros'!L5</f>
        <v>0</v>
      </c>
      <c r="G20" s="27"/>
      <c r="H20" s="20" t="s">
        <v>16</v>
      </c>
      <c r="I20" s="36">
        <f>I18/I19</f>
        <v>0</v>
      </c>
      <c r="K20" s="22"/>
    </row>
    <row r="21" ht="14.25" customHeight="1" outlineLevel="1">
      <c r="B21" s="34" t="s">
        <v>20</v>
      </c>
      <c r="C21" s="46">
        <f>C36*AVERAGE('Parámetros'!G5:G6)*IF(C29=1,15%,1)</f>
        <v>0</v>
      </c>
      <c r="E21" s="17" t="s">
        <v>18</v>
      </c>
      <c r="F21" s="42" t="str">
        <f>(I17-C23-F20-F17-C28*'Parámetros'!L8*I17)/I17</f>
        <v>#DIV/0!</v>
      </c>
      <c r="G21" s="43"/>
      <c r="K21" s="22"/>
    </row>
    <row r="22" ht="14.25" customHeight="1" outlineLevel="1">
      <c r="B22" s="34" t="s">
        <v>21</v>
      </c>
      <c r="C22" s="46">
        <f>C36*AVERAGE('Parámetros'!H5:H6)*IF(C29=1,15%,1)</f>
        <v>0</v>
      </c>
      <c r="K22" s="32"/>
      <c r="L22" s="33"/>
    </row>
    <row r="23" ht="14.25" customHeight="1" outlineLevel="1">
      <c r="B23" s="50" t="s">
        <v>23</v>
      </c>
      <c r="C23" s="51">
        <f>C18+C19</f>
        <v>0</v>
      </c>
      <c r="K23" s="22"/>
      <c r="L23" s="55"/>
    </row>
    <row r="24" ht="14.25" customHeight="1">
      <c r="B24" s="15"/>
    </row>
    <row r="25" ht="14.25" customHeight="1">
      <c r="B25" s="57" t="s">
        <v>24</v>
      </c>
      <c r="C25" s="58">
        <v>0.1</v>
      </c>
      <c r="E25" s="17" t="s">
        <v>6</v>
      </c>
      <c r="F25" s="18">
        <f>I25*C27</f>
        <v>0</v>
      </c>
      <c r="G25" s="47" t="s">
        <v>22</v>
      </c>
      <c r="H25" s="48" t="s">
        <v>8</v>
      </c>
      <c r="I25" s="49">
        <f>+(C23/(1-C27-F26-'Parámetros'!L5-'Parámetros'!L8*C28))+('Parámetros'!L9*C28)</f>
        <v>0</v>
      </c>
    </row>
    <row r="26" ht="14.25" customHeight="1">
      <c r="B26" s="57" t="s">
        <v>25</v>
      </c>
      <c r="C26" s="57" t="s">
        <v>26</v>
      </c>
      <c r="E26" s="17" t="s">
        <v>18</v>
      </c>
      <c r="F26" s="52">
        <v>0.0</v>
      </c>
      <c r="G26" s="27"/>
      <c r="H26" s="53" t="s">
        <v>10</v>
      </c>
      <c r="I26" s="54">
        <f>I25/'Parámetros'!L3</f>
        <v>0</v>
      </c>
    </row>
    <row r="27" ht="14.25" customHeight="1" outlineLevel="1">
      <c r="B27" s="57" t="s">
        <v>27</v>
      </c>
      <c r="C27" s="60">
        <f>IF('Nueva Plantilla'!C26="Nómina",C25*1.38522,C25)</f>
        <v>0.1</v>
      </c>
      <c r="E27" s="17" t="s">
        <v>12</v>
      </c>
      <c r="F27" s="18">
        <f>(I25-F26-C22)*'Parámetros'!L6</f>
        <v>0</v>
      </c>
      <c r="G27" s="27"/>
      <c r="H27" s="48" t="s">
        <v>13</v>
      </c>
      <c r="I27" s="56">
        <v>180.0</v>
      </c>
    </row>
    <row r="28" ht="15.75" customHeight="1">
      <c r="B28" s="57" t="s">
        <v>28</v>
      </c>
      <c r="C28" s="57">
        <v>0.0</v>
      </c>
      <c r="E28" s="17" t="s">
        <v>15</v>
      </c>
      <c r="F28" s="18">
        <f>I25*'Parámetros'!L5</f>
        <v>0</v>
      </c>
      <c r="G28" s="43"/>
      <c r="H28" s="53" t="s">
        <v>16</v>
      </c>
      <c r="I28" s="59">
        <f>I26/I27</f>
        <v>0</v>
      </c>
    </row>
    <row r="29" ht="14.25" customHeight="1">
      <c r="B29" s="57" t="s">
        <v>30</v>
      </c>
      <c r="C29" s="57">
        <v>0.0</v>
      </c>
    </row>
    <row r="30" ht="14.25" customHeight="1">
      <c r="B30" s="62"/>
      <c r="C30" s="62"/>
      <c r="D30" s="62"/>
      <c r="E30" s="62"/>
      <c r="F30" s="16"/>
      <c r="I30" s="25"/>
      <c r="J30" s="25"/>
      <c r="Q30" s="55"/>
    </row>
    <row r="31" ht="14.25" customHeight="1">
      <c r="B31" s="359"/>
      <c r="C31" s="359"/>
      <c r="D31" s="359"/>
      <c r="E31" s="359"/>
      <c r="F31" s="16"/>
      <c r="I31" s="25"/>
      <c r="J31" s="25"/>
      <c r="Q31" s="55"/>
    </row>
    <row r="32" ht="14.25" customHeight="1">
      <c r="B32" s="360" t="str">
        <f>IFERROR(__xludf.DUMMYFUNCTION("FILTER(#REF!,#REF!=B6)"),"#REF!")</f>
        <v>#REF!</v>
      </c>
      <c r="C32" s="30"/>
      <c r="D32" s="359"/>
      <c r="E32" s="359"/>
      <c r="F32" s="16"/>
      <c r="I32" s="25"/>
      <c r="J32" s="25"/>
      <c r="Q32" s="55"/>
    </row>
    <row r="33" ht="14.25" customHeight="1">
      <c r="B33" s="361"/>
      <c r="C33" s="362"/>
      <c r="D33" s="359"/>
      <c r="E33" s="237"/>
      <c r="F33" s="16"/>
      <c r="I33" s="25"/>
      <c r="J33" s="25"/>
      <c r="Q33" s="55"/>
    </row>
    <row r="34" ht="14.25" customHeight="1">
      <c r="B34" s="361"/>
      <c r="C34" s="363"/>
      <c r="D34" s="359"/>
      <c r="E34" s="237"/>
      <c r="F34" s="16"/>
      <c r="I34" s="25"/>
      <c r="J34" s="25"/>
      <c r="Q34" s="55"/>
    </row>
    <row r="35" ht="14.25" customHeight="1">
      <c r="B35" s="361"/>
      <c r="C35" s="362"/>
      <c r="D35" s="359"/>
      <c r="E35" s="237"/>
      <c r="F35" s="16"/>
      <c r="I35" s="25"/>
      <c r="J35" s="25"/>
      <c r="Q35" s="55"/>
    </row>
    <row r="36" ht="14.25" customHeight="1">
      <c r="B36" s="364"/>
      <c r="C36" s="365"/>
      <c r="D36" s="237"/>
      <c r="E36" s="237"/>
      <c r="F36" s="16"/>
      <c r="I36" s="25"/>
      <c r="J36" s="25"/>
      <c r="Q36" s="55"/>
    </row>
    <row r="37" ht="14.25" customHeight="1"/>
    <row r="38" ht="14.25" customHeight="1"/>
    <row r="39" ht="14.25" customHeight="1">
      <c r="B39" s="358" t="s">
        <v>213</v>
      </c>
      <c r="C39" s="30"/>
    </row>
    <row r="40" ht="14.25" customHeight="1"/>
    <row r="41" ht="14.25" customHeight="1">
      <c r="B41" s="15" t="s">
        <v>5</v>
      </c>
      <c r="K41" s="22"/>
      <c r="L41" s="23"/>
      <c r="M41" s="24"/>
      <c r="N41" s="24"/>
    </row>
    <row r="42" ht="14.25" customHeight="1">
      <c r="B42" s="25"/>
      <c r="K42" s="22"/>
      <c r="N42" s="28"/>
      <c r="O42" s="28"/>
      <c r="P42" s="28"/>
    </row>
    <row r="43" ht="14.25" customHeight="1" outlineLevel="1">
      <c r="B43" s="29" t="s">
        <v>11</v>
      </c>
      <c r="C43" s="30"/>
      <c r="E43" s="17" t="s">
        <v>6</v>
      </c>
      <c r="F43" s="18" t="str">
        <f>I43*C53</f>
        <v>#REF!</v>
      </c>
      <c r="G43" s="19" t="s">
        <v>7</v>
      </c>
      <c r="H43" s="20" t="s">
        <v>8</v>
      </c>
      <c r="I43" s="21" t="str">
        <f>+((C48+C44+C46)/(1-F44-'Parámetros'!L42*C54))+'Parámetros'!L43*C54</f>
        <v>#REF!</v>
      </c>
      <c r="K43" s="32"/>
      <c r="L43" s="33"/>
      <c r="N43" s="28"/>
      <c r="O43" s="28"/>
      <c r="P43" s="28"/>
    </row>
    <row r="44" ht="14.25" customHeight="1" outlineLevel="1">
      <c r="B44" s="34" t="s">
        <v>14</v>
      </c>
      <c r="C44" s="35" t="str">
        <f>C61</f>
        <v/>
      </c>
      <c r="E44" s="17" t="s">
        <v>9</v>
      </c>
      <c r="F44" s="26">
        <v>0.5</v>
      </c>
      <c r="G44" s="27"/>
      <c r="H44" s="20" t="s">
        <v>10</v>
      </c>
      <c r="I44" s="21" t="str">
        <f>I43/'Parámetros'!L30</f>
        <v>#REF!</v>
      </c>
      <c r="K44" s="32"/>
      <c r="L44" s="37"/>
      <c r="M44" s="38"/>
      <c r="N44" s="39"/>
    </row>
    <row r="45" ht="14.25" customHeight="1" outlineLevel="1">
      <c r="B45" s="40" t="s">
        <v>17</v>
      </c>
      <c r="C45" s="41" t="str">
        <f>C47+C48+C46</f>
        <v>#REF!</v>
      </c>
      <c r="E45" s="17" t="s">
        <v>12</v>
      </c>
      <c r="F45" s="18" t="str">
        <f>(I43-F43-C48)*'Parámetros'!L40</f>
        <v>#REF!</v>
      </c>
      <c r="G45" s="27"/>
      <c r="H45" s="20" t="s">
        <v>13</v>
      </c>
      <c r="I45" s="31">
        <v>180.0</v>
      </c>
      <c r="K45" s="22"/>
      <c r="M45" s="44"/>
      <c r="N45" s="45"/>
    </row>
    <row r="46" ht="14.25" customHeight="1" outlineLevel="1">
      <c r="B46" s="34" t="s">
        <v>19</v>
      </c>
      <c r="C46" s="46">
        <f>6000000/30*C60*1.095</f>
        <v>0</v>
      </c>
      <c r="E46" s="17" t="s">
        <v>15</v>
      </c>
      <c r="F46" s="18" t="str">
        <f>I43*'Parámetros'!L39</f>
        <v>#REF!</v>
      </c>
      <c r="G46" s="27"/>
      <c r="H46" s="20" t="s">
        <v>16</v>
      </c>
      <c r="I46" s="36" t="str">
        <f>I44/I45</f>
        <v>#REF!</v>
      </c>
      <c r="K46" s="22"/>
    </row>
    <row r="47" ht="14.25" customHeight="1" outlineLevel="1">
      <c r="B47" s="34" t="s">
        <v>20</v>
      </c>
      <c r="C47" s="46" t="str">
        <f>C62*AVERAGE(#REF!)*IF(C55=1,15%,1)</f>
        <v>#REF!</v>
      </c>
      <c r="E47" s="17" t="s">
        <v>18</v>
      </c>
      <c r="F47" s="42" t="str">
        <f>(I43-C49-F46-F43-C54*'Parámetros'!L42*I43)/I43</f>
        <v>#REF!</v>
      </c>
      <c r="G47" s="43"/>
      <c r="K47" s="22"/>
    </row>
    <row r="48" ht="14.25" customHeight="1" outlineLevel="1">
      <c r="B48" s="34" t="s">
        <v>21</v>
      </c>
      <c r="C48" s="46" t="str">
        <f>C62*AVERAGE(#REF!)*IF(C55=1,15%,1)</f>
        <v>#REF!</v>
      </c>
      <c r="K48" s="32"/>
      <c r="L48" s="33"/>
    </row>
    <row r="49" ht="14.25" customHeight="1" outlineLevel="1">
      <c r="B49" s="50" t="s">
        <v>23</v>
      </c>
      <c r="C49" s="51" t="str">
        <f>C44+C45</f>
        <v>#REF!</v>
      </c>
      <c r="K49" s="22"/>
      <c r="L49" s="55"/>
    </row>
    <row r="50" ht="14.25" customHeight="1">
      <c r="B50" s="15"/>
    </row>
    <row r="51" ht="14.25" customHeight="1">
      <c r="B51" s="57" t="s">
        <v>24</v>
      </c>
      <c r="C51" s="58">
        <v>0.1</v>
      </c>
      <c r="E51" s="17" t="s">
        <v>6</v>
      </c>
      <c r="F51" s="18" t="str">
        <f>I51*C53</f>
        <v>#REF!</v>
      </c>
      <c r="G51" s="47" t="s">
        <v>22</v>
      </c>
      <c r="H51" s="48" t="s">
        <v>8</v>
      </c>
      <c r="I51" s="49" t="str">
        <f>+(C49/(1-C53-F52-'Parámetros'!L39-'Parámetros'!L42*C54))+('Parámetros'!L43*C54)</f>
        <v>#REF!</v>
      </c>
    </row>
    <row r="52" ht="14.25" customHeight="1">
      <c r="B52" s="57" t="s">
        <v>25</v>
      </c>
      <c r="C52" s="57" t="s">
        <v>26</v>
      </c>
      <c r="E52" s="17" t="s">
        <v>18</v>
      </c>
      <c r="F52" s="52">
        <v>0.0</v>
      </c>
      <c r="G52" s="27"/>
      <c r="H52" s="53" t="s">
        <v>10</v>
      </c>
      <c r="I52" s="54" t="str">
        <f>I51/'Parámetros'!L30</f>
        <v>#REF!</v>
      </c>
    </row>
    <row r="53" ht="14.25" customHeight="1" outlineLevel="1">
      <c r="B53" s="57" t="s">
        <v>27</v>
      </c>
      <c r="C53" s="60">
        <f>IF('Nueva Plantilla'!C52="Nómina",C51*1.38522,C51)</f>
        <v>0.1</v>
      </c>
      <c r="E53" s="17" t="s">
        <v>12</v>
      </c>
      <c r="F53" s="18" t="str">
        <f>(I51-F52-C48)*'Parámetros'!L40</f>
        <v>#REF!</v>
      </c>
      <c r="G53" s="27"/>
      <c r="H53" s="48" t="s">
        <v>13</v>
      </c>
      <c r="I53" s="56">
        <v>180.0</v>
      </c>
    </row>
    <row r="54" ht="15.75" customHeight="1">
      <c r="B54" s="57" t="s">
        <v>28</v>
      </c>
      <c r="C54" s="57">
        <v>0.0</v>
      </c>
      <c r="E54" s="17" t="s">
        <v>15</v>
      </c>
      <c r="F54" s="18" t="str">
        <f>I51*'Parámetros'!L39</f>
        <v>#REF!</v>
      </c>
      <c r="G54" s="43"/>
      <c r="H54" s="53" t="s">
        <v>16</v>
      </c>
      <c r="I54" s="59" t="str">
        <f>I52/I53</f>
        <v>#REF!</v>
      </c>
    </row>
    <row r="55" ht="14.25" customHeight="1">
      <c r="B55" s="57" t="s">
        <v>30</v>
      </c>
      <c r="C55" s="57">
        <v>0.0</v>
      </c>
    </row>
    <row r="56" ht="14.25" customHeight="1">
      <c r="B56" s="62"/>
      <c r="C56" s="62"/>
      <c r="D56" s="62"/>
      <c r="E56" s="62"/>
      <c r="F56" s="16"/>
      <c r="I56" s="25"/>
      <c r="J56" s="25"/>
      <c r="Q56" s="55"/>
    </row>
    <row r="57" ht="14.25" customHeight="1">
      <c r="B57" s="359"/>
      <c r="C57" s="359"/>
      <c r="D57" s="359"/>
      <c r="E57" s="359"/>
      <c r="F57" s="16"/>
      <c r="I57" s="25"/>
      <c r="J57" s="25"/>
      <c r="Q57" s="55"/>
    </row>
    <row r="58" ht="14.25" customHeight="1">
      <c r="B58" s="360" t="str">
        <f>B9</f>
        <v>Caso Express</v>
      </c>
      <c r="C58" s="30"/>
      <c r="D58" s="359"/>
      <c r="E58" s="359"/>
      <c r="F58" s="16"/>
      <c r="I58" s="25"/>
      <c r="J58" s="25"/>
      <c r="Q58" s="55"/>
    </row>
    <row r="59" ht="14.25" customHeight="1">
      <c r="B59" s="361"/>
      <c r="C59" s="362"/>
      <c r="D59" s="359"/>
      <c r="E59" s="237"/>
      <c r="F59" s="16"/>
      <c r="I59" s="25"/>
      <c r="J59" s="25"/>
      <c r="Q59" s="55"/>
    </row>
    <row r="60" ht="14.25" customHeight="1">
      <c r="B60" s="361"/>
      <c r="C60" s="363"/>
      <c r="D60" s="359"/>
      <c r="E60" s="237"/>
      <c r="F60" s="16"/>
      <c r="I60" s="25"/>
      <c r="J60" s="25"/>
      <c r="Q60" s="55"/>
    </row>
    <row r="61" ht="14.25" customHeight="1">
      <c r="B61" s="361"/>
      <c r="C61" s="362"/>
      <c r="D61" s="359"/>
      <c r="E61" s="237"/>
      <c r="F61" s="16"/>
      <c r="I61" s="25"/>
      <c r="J61" s="25"/>
      <c r="Q61" s="55"/>
    </row>
    <row r="62" ht="14.25" customHeight="1">
      <c r="B62" s="364"/>
      <c r="C62" s="365"/>
      <c r="D62" s="237"/>
      <c r="E62" s="237"/>
      <c r="F62" s="16"/>
      <c r="I62" s="25"/>
      <c r="J62" s="25"/>
      <c r="Q62" s="55"/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</sheetData>
  <mergeCells count="14">
    <mergeCell ref="B32:C32"/>
    <mergeCell ref="B39:C39"/>
    <mergeCell ref="B42:C42"/>
    <mergeCell ref="B43:C43"/>
    <mergeCell ref="G43:G47"/>
    <mergeCell ref="G51:G54"/>
    <mergeCell ref="B58:C58"/>
    <mergeCell ref="B1:B3"/>
    <mergeCell ref="C1:O3"/>
    <mergeCell ref="B14:C14"/>
    <mergeCell ref="B16:C16"/>
    <mergeCell ref="B17:C17"/>
    <mergeCell ref="G17:G21"/>
    <mergeCell ref="G25:G28"/>
  </mergeCells>
  <dataValidations>
    <dataValidation type="list" allowBlank="1" sqref="B6 B9 B12">
      <formula1>'Parámetros'!$A$117:$A$123</formula1>
    </dataValidation>
    <dataValidation type="list" allowBlank="1" sqref="C26 C52">
      <formula1>"Nómina,Prestación de Servicios"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6.86"/>
    <col customWidth="1" min="3" max="3" width="28.57"/>
    <col customWidth="1" min="4" max="4" width="31.0"/>
  </cols>
  <sheetData>
    <row r="2">
      <c r="B2" s="15"/>
      <c r="C2" s="158" t="s">
        <v>211</v>
      </c>
      <c r="D2" s="158" t="s">
        <v>213</v>
      </c>
      <c r="E2" s="15" t="s">
        <v>217</v>
      </c>
    </row>
    <row r="3">
      <c r="C3" s="15" t="s">
        <v>218</v>
      </c>
      <c r="E3" s="15">
        <v>3.0</v>
      </c>
    </row>
    <row r="4">
      <c r="B4" s="15" t="b">
        <v>1</v>
      </c>
      <c r="C4" s="15" t="s">
        <v>95</v>
      </c>
    </row>
    <row r="5">
      <c r="C5" s="288"/>
    </row>
    <row r="14">
      <c r="C14" s="15" t="s">
        <v>219</v>
      </c>
    </row>
    <row r="15">
      <c r="C15" s="366" t="s">
        <v>95</v>
      </c>
    </row>
    <row r="16">
      <c r="C16" s="15" t="s">
        <v>220</v>
      </c>
    </row>
    <row r="17">
      <c r="C17" s="15" t="s">
        <v>221</v>
      </c>
    </row>
    <row r="18">
      <c r="C18" s="15" t="s">
        <v>222</v>
      </c>
    </row>
    <row r="19">
      <c r="C19" s="15" t="s">
        <v>223</v>
      </c>
    </row>
  </sheetData>
  <dataValidations>
    <dataValidation type="list" allowBlank="1" sqref="C4:C5">
      <formula1>$C$14:$C$19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10.71"/>
    <col customWidth="1" min="2" max="2" width="35.0"/>
    <col customWidth="1" min="3" max="3" width="23.14"/>
    <col customWidth="1" min="4" max="4" width="17.0"/>
    <col customWidth="1" min="5" max="7" width="14.86"/>
    <col customWidth="1" min="8" max="8" width="16.14"/>
    <col customWidth="1" min="9" max="10" width="14.86"/>
    <col customWidth="1" min="11" max="11" width="34.29"/>
    <col customWidth="1" min="12" max="12" width="17.29"/>
    <col customWidth="1" min="13" max="13" width="15.57"/>
    <col customWidth="1" min="14" max="14" width="10.71"/>
    <col customWidth="1" min="15" max="15" width="23.14"/>
    <col customWidth="1" min="16" max="16" width="17.57"/>
    <col customWidth="1" min="17" max="17" width="15.71"/>
    <col customWidth="1" min="18" max="18" width="18.86"/>
    <col customWidth="1" hidden="1" min="19" max="19" width="13.71"/>
    <col customWidth="1" hidden="1" min="20" max="20" width="13.43"/>
    <col customWidth="1" hidden="1" min="21" max="31" width="10.71"/>
  </cols>
  <sheetData>
    <row r="1" ht="31.5" hidden="1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"/>
      <c r="P1" s="5" t="s">
        <v>1</v>
      </c>
      <c r="Q1" s="6" t="s">
        <v>2</v>
      </c>
    </row>
    <row r="2" ht="31.5" hidden="1" customHeight="1">
      <c r="A2" s="7"/>
      <c r="B2" s="8"/>
      <c r="C2" s="7"/>
      <c r="O2" s="8"/>
      <c r="P2" s="9" t="s">
        <v>3</v>
      </c>
      <c r="Q2" s="10">
        <v>1.0</v>
      </c>
    </row>
    <row r="3" ht="31.5" hidden="1" customHeight="1">
      <c r="A3" s="11"/>
      <c r="B3" s="12"/>
      <c r="C3" s="11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2"/>
      <c r="P3" s="9" t="s">
        <v>4</v>
      </c>
      <c r="Q3" s="14">
        <v>44171.0</v>
      </c>
    </row>
    <row r="4" ht="14.25" customHeight="1">
      <c r="B4" s="15"/>
      <c r="D4" s="15"/>
      <c r="E4" s="16"/>
      <c r="F4" s="16"/>
    </row>
    <row r="5" ht="14.25" customHeight="1">
      <c r="B5" s="15" t="s">
        <v>5</v>
      </c>
      <c r="E5" s="17" t="s">
        <v>6</v>
      </c>
      <c r="F5" s="18">
        <f>I5*C17</f>
        <v>1471150.633</v>
      </c>
      <c r="G5" s="19" t="s">
        <v>7</v>
      </c>
      <c r="H5" s="20" t="s">
        <v>8</v>
      </c>
      <c r="I5" s="21">
        <f>+((C12+C8+C10)/(1-F6-'Parámetros'!L8*C18))+'Parámetros'!L9*C18</f>
        <v>14711506.33</v>
      </c>
      <c r="K5" s="22"/>
      <c r="L5" s="23"/>
      <c r="M5" s="24"/>
      <c r="N5" s="24"/>
    </row>
    <row r="6" ht="14.25" customHeight="1">
      <c r="B6" s="25"/>
      <c r="E6" s="17" t="s">
        <v>9</v>
      </c>
      <c r="F6" s="26">
        <v>0.42</v>
      </c>
      <c r="G6" s="27"/>
      <c r="H6" s="20" t="s">
        <v>10</v>
      </c>
      <c r="I6" s="21">
        <f>I5/'Parámetros'!L3</f>
        <v>4144.086289</v>
      </c>
      <c r="K6" s="22"/>
      <c r="N6" s="28"/>
      <c r="O6" s="28"/>
      <c r="P6" s="28"/>
    </row>
    <row r="7" ht="14.25" customHeight="1">
      <c r="B7" s="29" t="s">
        <v>11</v>
      </c>
      <c r="C7" s="30"/>
      <c r="E7" s="17" t="s">
        <v>12</v>
      </c>
      <c r="F7" s="18">
        <f>(I5-F5-C12)*'Parámetros'!L6</f>
        <v>0</v>
      </c>
      <c r="G7" s="27"/>
      <c r="H7" s="20" t="s">
        <v>13</v>
      </c>
      <c r="I7" s="31">
        <v>180.0</v>
      </c>
      <c r="K7" s="32"/>
      <c r="L7" s="33"/>
      <c r="N7" s="28"/>
      <c r="O7" s="28"/>
      <c r="P7" s="28"/>
    </row>
    <row r="8" ht="14.25" customHeight="1">
      <c r="B8" s="34" t="s">
        <v>14</v>
      </c>
      <c r="C8" s="35">
        <f>G20</f>
        <v>7415802.667</v>
      </c>
      <c r="E8" s="17" t="s">
        <v>15</v>
      </c>
      <c r="F8" s="18">
        <f>I5*'Parámetros'!L5</f>
        <v>101509.3936</v>
      </c>
      <c r="G8" s="27"/>
      <c r="H8" s="20" t="s">
        <v>16</v>
      </c>
      <c r="I8" s="36">
        <f>I6/I7</f>
        <v>23.0227016</v>
      </c>
      <c r="K8" s="32"/>
      <c r="L8" s="37"/>
      <c r="M8" s="38"/>
      <c r="N8" s="39"/>
    </row>
    <row r="9" ht="14.25" customHeight="1">
      <c r="B9" s="40" t="s">
        <v>17</v>
      </c>
      <c r="C9" s="41">
        <f>C11+C12+C10</f>
        <v>4911160.378</v>
      </c>
      <c r="E9" s="17" t="s">
        <v>18</v>
      </c>
      <c r="F9" s="42">
        <f>(I5-C13-F8-F5-C18*'Parámetros'!L8*I5)/I5</f>
        <v>0.05518695616</v>
      </c>
      <c r="G9" s="43"/>
      <c r="K9" s="22"/>
      <c r="M9" s="44"/>
      <c r="N9" s="45"/>
    </row>
    <row r="10" ht="14.25" customHeight="1" outlineLevel="1">
      <c r="B10" s="34" t="s">
        <v>19</v>
      </c>
      <c r="C10" s="46">
        <f>6000000/30*F20*1.095</f>
        <v>361350</v>
      </c>
      <c r="K10" s="22"/>
    </row>
    <row r="11" ht="14.25" customHeight="1">
      <c r="B11" s="34" t="s">
        <v>20</v>
      </c>
      <c r="C11" s="46">
        <f>H20*AVERAGE('Parámetros'!G5:G6)*IF(C19=1,15%,1)</f>
        <v>3794289.376</v>
      </c>
      <c r="K11" s="22"/>
    </row>
    <row r="12" ht="14.25" customHeight="1">
      <c r="B12" s="34" t="s">
        <v>21</v>
      </c>
      <c r="C12" s="46">
        <f>H20*AVERAGE('Parámetros'!H5:H6)*IF(C19=1,15%,1)</f>
        <v>755521.0019</v>
      </c>
      <c r="E12" s="17" t="s">
        <v>6</v>
      </c>
      <c r="F12" s="18">
        <f>I12*C17</f>
        <v>1380244.434</v>
      </c>
      <c r="G12" s="47" t="s">
        <v>22</v>
      </c>
      <c r="H12" s="48" t="s">
        <v>8</v>
      </c>
      <c r="I12" s="49">
        <f>+(C13/(1-C17-F13-'Parámetros'!L5-'Parámetros'!L8*C18))+('Parámetros'!L9*C18)</f>
        <v>13802444.34</v>
      </c>
      <c r="K12" s="32"/>
      <c r="L12" s="33"/>
    </row>
    <row r="13" ht="14.25" customHeight="1">
      <c r="B13" s="50" t="s">
        <v>23</v>
      </c>
      <c r="C13" s="51">
        <f>C8+C9</f>
        <v>12326963.04</v>
      </c>
      <c r="E13" s="17" t="s">
        <v>18</v>
      </c>
      <c r="F13" s="52">
        <v>0.0</v>
      </c>
      <c r="G13" s="27"/>
      <c r="H13" s="53" t="s">
        <v>10</v>
      </c>
      <c r="I13" s="54">
        <f>I12/'Parámetros'!L3</f>
        <v>3888.012491</v>
      </c>
      <c r="K13" s="22"/>
      <c r="L13" s="55"/>
    </row>
    <row r="14" ht="14.25" customHeight="1">
      <c r="B14" s="15"/>
      <c r="E14" s="17" t="s">
        <v>12</v>
      </c>
      <c r="F14" s="18">
        <f>(I12-F13-C12)*'Parámetros'!L6</f>
        <v>0</v>
      </c>
      <c r="G14" s="27"/>
      <c r="H14" s="48" t="s">
        <v>13</v>
      </c>
      <c r="I14" s="56">
        <v>180.0</v>
      </c>
    </row>
    <row r="15" ht="14.25" customHeight="1">
      <c r="B15" s="57" t="s">
        <v>24</v>
      </c>
      <c r="C15" s="58">
        <v>0.1</v>
      </c>
      <c r="E15" s="17" t="s">
        <v>15</v>
      </c>
      <c r="F15" s="18">
        <f>I12*'Parámetros'!L5</f>
        <v>95236.86598</v>
      </c>
      <c r="G15" s="43"/>
      <c r="H15" s="53" t="s">
        <v>16</v>
      </c>
      <c r="I15" s="59">
        <f>I13/I14</f>
        <v>21.6000694</v>
      </c>
    </row>
    <row r="16" ht="14.25" customHeight="1">
      <c r="B16" s="57" t="s">
        <v>25</v>
      </c>
      <c r="C16" s="57" t="s">
        <v>26</v>
      </c>
    </row>
    <row r="17" ht="14.25" customHeight="1" outlineLevel="1">
      <c r="B17" s="57" t="s">
        <v>27</v>
      </c>
      <c r="C17" s="60">
        <f>IF('Copy of PRICING PLANTILLA'!C16="Nómina",C15*1.38522,C15)</f>
        <v>0.1</v>
      </c>
    </row>
    <row r="18" ht="15.75" customHeight="1">
      <c r="B18" s="57" t="s">
        <v>28</v>
      </c>
      <c r="C18" s="57">
        <v>0.0</v>
      </c>
      <c r="F18" s="16" t="s">
        <v>29</v>
      </c>
    </row>
    <row r="19" ht="14.25" customHeight="1">
      <c r="B19" s="57" t="s">
        <v>30</v>
      </c>
      <c r="C19" s="57">
        <v>0.0</v>
      </c>
      <c r="F19" s="61"/>
    </row>
    <row r="20" ht="14.25" customHeight="1">
      <c r="B20" s="62"/>
      <c r="F20" s="63">
        <f t="shared" ref="F20:H20" si="1">SUM(F22:F34)</f>
        <v>1.65</v>
      </c>
      <c r="G20" s="51">
        <f t="shared" si="1"/>
        <v>7415802.667</v>
      </c>
      <c r="H20" s="64">
        <f t="shared" si="1"/>
        <v>0.02172348792</v>
      </c>
      <c r="I20" s="25"/>
      <c r="J20" s="25"/>
      <c r="Q20" s="55"/>
    </row>
    <row r="21" ht="14.25" customHeight="1">
      <c r="B21" s="65" t="s">
        <v>31</v>
      </c>
      <c r="C21" s="65" t="s">
        <v>32</v>
      </c>
      <c r="D21" s="65" t="s">
        <v>33</v>
      </c>
      <c r="E21" s="65" t="s">
        <v>34</v>
      </c>
      <c r="F21" s="66" t="s">
        <v>35</v>
      </c>
      <c r="G21" s="66" t="s">
        <v>36</v>
      </c>
      <c r="H21" s="66" t="s">
        <v>37</v>
      </c>
      <c r="I21" s="66" t="s">
        <v>38</v>
      </c>
      <c r="J21" s="66" t="s">
        <v>39</v>
      </c>
      <c r="K21" s="67"/>
    </row>
    <row r="22" ht="14.25" customHeight="1">
      <c r="A22" s="55"/>
      <c r="B22" s="66" t="s">
        <v>40</v>
      </c>
      <c r="C22" s="68">
        <v>3000000.0</v>
      </c>
      <c r="D22" s="69" t="s">
        <v>41</v>
      </c>
      <c r="E22" s="70">
        <f t="shared" ref="E22:E34" si="2">+iferror(IF(D22="Nómina",C22*1.38352,C22),"")</f>
        <v>4150560</v>
      </c>
      <c r="F22" s="71">
        <v>1.0</v>
      </c>
      <c r="G22" s="70">
        <f t="shared" ref="G22:G25" si="3">E22*F22+C22/6</f>
        <v>4650560</v>
      </c>
      <c r="H22" s="72">
        <f>G22/(AVERAGE('Parámetros'!$F$5:$F$6)+$G$20)</f>
        <v>0.01362312194</v>
      </c>
      <c r="I22" s="72">
        <f t="shared" ref="I22:I34" si="4">G22/$G$20</f>
        <v>0.6271148531</v>
      </c>
      <c r="J22" s="70">
        <f t="shared" ref="J22:J34" si="5">$I$13*I22</f>
        <v>2438.230382</v>
      </c>
      <c r="K22" s="73"/>
    </row>
    <row r="23" ht="14.25" customHeight="1">
      <c r="A23" s="55"/>
      <c r="B23" s="66" t="s">
        <v>42</v>
      </c>
      <c r="C23" s="68">
        <v>2800000.0</v>
      </c>
      <c r="D23" s="69" t="s">
        <v>41</v>
      </c>
      <c r="E23" s="70">
        <f t="shared" si="2"/>
        <v>3873856</v>
      </c>
      <c r="F23" s="71">
        <v>0.25</v>
      </c>
      <c r="G23" s="70">
        <f t="shared" si="3"/>
        <v>1435130.667</v>
      </c>
      <c r="H23" s="72">
        <f>G23/(AVERAGE('Parámetros'!$F$5:$F$6)+$G$20)</f>
        <v>0.004204001254</v>
      </c>
      <c r="I23" s="72">
        <f t="shared" si="4"/>
        <v>0.1935233084</v>
      </c>
      <c r="J23" s="70">
        <f t="shared" si="5"/>
        <v>752.4210405</v>
      </c>
      <c r="K23" s="73"/>
      <c r="Q23" s="74"/>
    </row>
    <row r="24" ht="14.25" customHeight="1">
      <c r="A24" s="55"/>
      <c r="B24" s="66" t="s">
        <v>43</v>
      </c>
      <c r="C24" s="68">
        <v>3000000.0</v>
      </c>
      <c r="D24" s="69" t="s">
        <v>41</v>
      </c>
      <c r="E24" s="70">
        <f t="shared" si="2"/>
        <v>4150560</v>
      </c>
      <c r="F24" s="71">
        <v>0.2</v>
      </c>
      <c r="G24" s="70">
        <f t="shared" si="3"/>
        <v>1330112</v>
      </c>
      <c r="H24" s="72">
        <f>G24/(AVERAGE('Parámetros'!$F$5:$F$6)+$G$20)</f>
        <v>0.003896364732</v>
      </c>
      <c r="I24" s="72">
        <f t="shared" si="4"/>
        <v>0.1793618385</v>
      </c>
      <c r="J24" s="70">
        <f t="shared" si="5"/>
        <v>697.3610685</v>
      </c>
      <c r="K24" s="73"/>
    </row>
    <row r="25" ht="14.25" customHeight="1">
      <c r="A25" s="55"/>
      <c r="B25" s="66" t="s">
        <v>184</v>
      </c>
      <c r="C25" s="68" t="str">
        <f>iferror(VLOOKUP(B25,'Parámetros'!A$1:B123,2, FALSE),"")</f>
        <v/>
      </c>
      <c r="D25" s="69" t="s">
        <v>41</v>
      </c>
      <c r="E25" s="70">
        <f t="shared" si="2"/>
        <v>0</v>
      </c>
      <c r="F25" s="71">
        <v>0.2</v>
      </c>
      <c r="G25" s="70">
        <f t="shared" si="3"/>
        <v>0</v>
      </c>
      <c r="H25" s="72">
        <f>G25/(AVERAGE('Parámetros'!$F$5:$F$6)+$G$20)</f>
        <v>0</v>
      </c>
      <c r="I25" s="72">
        <f t="shared" si="4"/>
        <v>0</v>
      </c>
      <c r="J25" s="70">
        <f t="shared" si="5"/>
        <v>0</v>
      </c>
      <c r="K25" s="73"/>
    </row>
    <row r="26" ht="14.25" customHeight="1" collapsed="1">
      <c r="A26" s="55"/>
      <c r="B26" s="66"/>
      <c r="C26" s="68" t="str">
        <f>iferror(VLOOKUP(B26,'Parámetros'!A$1:B124,2, FALSE),"")</f>
        <v/>
      </c>
      <c r="D26" s="69"/>
      <c r="E26" s="70" t="str">
        <f t="shared" si="2"/>
        <v/>
      </c>
      <c r="F26" s="71"/>
      <c r="G26" s="70">
        <f t="shared" ref="G26:G34" si="6">E26*F26</f>
        <v>0</v>
      </c>
      <c r="H26" s="72">
        <f>G26/AVERAGE('Parámetros'!$F$5:$F$6)</f>
        <v>0</v>
      </c>
      <c r="I26" s="72">
        <f t="shared" si="4"/>
        <v>0</v>
      </c>
      <c r="J26" s="70">
        <f t="shared" si="5"/>
        <v>0</v>
      </c>
      <c r="K26" s="73"/>
    </row>
    <row r="27" ht="14.25" hidden="1" customHeight="1" outlineLevel="1">
      <c r="A27" s="55"/>
      <c r="B27" s="69"/>
      <c r="C27" s="68" t="str">
        <f>iferror(VLOOKUP(B27,'Parámetros'!A$1:B126,2, FALSE),"")</f>
        <v/>
      </c>
      <c r="D27" s="66"/>
      <c r="E27" s="70" t="str">
        <f t="shared" si="2"/>
        <v/>
      </c>
      <c r="F27" s="71"/>
      <c r="G27" s="70">
        <f t="shared" si="6"/>
        <v>0</v>
      </c>
      <c r="H27" s="72"/>
      <c r="I27" s="72">
        <f t="shared" si="4"/>
        <v>0</v>
      </c>
      <c r="J27" s="70">
        <f t="shared" si="5"/>
        <v>0</v>
      </c>
    </row>
    <row r="28" ht="14.25" hidden="1" customHeight="1" outlineLevel="1">
      <c r="A28" s="55"/>
      <c r="B28" s="69"/>
      <c r="C28" s="68" t="str">
        <f>iferror(VLOOKUP(B28,'Parámetros'!A$1:B126,2, FALSE),"")</f>
        <v/>
      </c>
      <c r="D28" s="66"/>
      <c r="E28" s="70" t="str">
        <f t="shared" si="2"/>
        <v/>
      </c>
      <c r="F28" s="71"/>
      <c r="G28" s="70">
        <f t="shared" si="6"/>
        <v>0</v>
      </c>
      <c r="H28" s="72"/>
      <c r="I28" s="72">
        <f t="shared" si="4"/>
        <v>0</v>
      </c>
      <c r="J28" s="70">
        <f t="shared" si="5"/>
        <v>0</v>
      </c>
    </row>
    <row r="29" ht="14.25" hidden="1" customHeight="1" outlineLevel="1">
      <c r="A29" s="55"/>
      <c r="B29" s="69"/>
      <c r="C29" s="68" t="str">
        <f>iferror(VLOOKUP(B29,'Parámetros'!A$1:B126,2, FALSE),"")</f>
        <v/>
      </c>
      <c r="D29" s="66" t="s">
        <v>41</v>
      </c>
      <c r="E29" s="70">
        <f t="shared" si="2"/>
        <v>0</v>
      </c>
      <c r="F29" s="75"/>
      <c r="G29" s="70">
        <f t="shared" si="6"/>
        <v>0</v>
      </c>
      <c r="H29" s="72"/>
      <c r="I29" s="72">
        <f t="shared" si="4"/>
        <v>0</v>
      </c>
      <c r="J29" s="70">
        <f t="shared" si="5"/>
        <v>0</v>
      </c>
    </row>
    <row r="30" ht="14.25" hidden="1" customHeight="1" outlineLevel="1">
      <c r="A30" s="55"/>
      <c r="B30" s="69"/>
      <c r="C30" s="68" t="str">
        <f>iferror(VLOOKUP(B30,'Parámetros'!A$1:B126,2, FALSE),"")</f>
        <v/>
      </c>
      <c r="D30" s="66"/>
      <c r="E30" s="70" t="str">
        <f t="shared" si="2"/>
        <v/>
      </c>
      <c r="F30" s="71"/>
      <c r="G30" s="70">
        <f t="shared" si="6"/>
        <v>0</v>
      </c>
      <c r="H30" s="72"/>
      <c r="I30" s="72">
        <f t="shared" si="4"/>
        <v>0</v>
      </c>
      <c r="J30" s="70">
        <f t="shared" si="5"/>
        <v>0</v>
      </c>
    </row>
    <row r="31" ht="14.25" hidden="1" customHeight="1" outlineLevel="1">
      <c r="A31" s="55"/>
      <c r="B31" s="69"/>
      <c r="C31" s="68" t="str">
        <f>iferror(VLOOKUP(B31,'Parámetros'!A$1:B126,2, FALSE),"")</f>
        <v/>
      </c>
      <c r="D31" s="66"/>
      <c r="E31" s="70" t="str">
        <f t="shared" si="2"/>
        <v/>
      </c>
      <c r="F31" s="71"/>
      <c r="G31" s="70">
        <f t="shared" si="6"/>
        <v>0</v>
      </c>
      <c r="H31" s="72"/>
      <c r="I31" s="72">
        <f t="shared" si="4"/>
        <v>0</v>
      </c>
      <c r="J31" s="70">
        <f t="shared" si="5"/>
        <v>0</v>
      </c>
    </row>
    <row r="32" ht="14.25" hidden="1" customHeight="1" outlineLevel="1">
      <c r="A32" s="55"/>
      <c r="B32" s="69"/>
      <c r="C32" s="68" t="str">
        <f>iferror(VLOOKUP(B32,'Parámetros'!A$1:B126,2, FALSE),"")</f>
        <v/>
      </c>
      <c r="D32" s="66"/>
      <c r="E32" s="70" t="str">
        <f t="shared" si="2"/>
        <v/>
      </c>
      <c r="F32" s="71"/>
      <c r="G32" s="70">
        <f t="shared" si="6"/>
        <v>0</v>
      </c>
      <c r="H32" s="72"/>
      <c r="I32" s="72">
        <f t="shared" si="4"/>
        <v>0</v>
      </c>
      <c r="J32" s="70">
        <f t="shared" si="5"/>
        <v>0</v>
      </c>
    </row>
    <row r="33" ht="14.25" hidden="1" customHeight="1" outlineLevel="1">
      <c r="A33" s="55"/>
      <c r="B33" s="69"/>
      <c r="C33" s="68" t="str">
        <f>iferror(VLOOKUP(B33,'Parámetros'!A$1:B126,2, FALSE),"")</f>
        <v/>
      </c>
      <c r="D33" s="66"/>
      <c r="E33" s="70" t="str">
        <f t="shared" si="2"/>
        <v/>
      </c>
      <c r="F33" s="71"/>
      <c r="G33" s="70">
        <f t="shared" si="6"/>
        <v>0</v>
      </c>
      <c r="H33" s="72"/>
      <c r="I33" s="72">
        <f t="shared" si="4"/>
        <v>0</v>
      </c>
      <c r="J33" s="70">
        <f t="shared" si="5"/>
        <v>0</v>
      </c>
    </row>
    <row r="34" ht="14.25" hidden="1" customHeight="1" outlineLevel="1">
      <c r="A34" s="55"/>
      <c r="B34" s="69"/>
      <c r="C34" s="68" t="str">
        <f>iferror(VLOOKUP(B34,'Parámetros'!A$1:B126,2, FALSE),"")</f>
        <v/>
      </c>
      <c r="D34" s="66" t="s">
        <v>41</v>
      </c>
      <c r="E34" s="70">
        <f t="shared" si="2"/>
        <v>0</v>
      </c>
      <c r="F34" s="71"/>
      <c r="G34" s="70">
        <f t="shared" si="6"/>
        <v>0</v>
      </c>
      <c r="H34" s="72"/>
      <c r="I34" s="72">
        <f t="shared" si="4"/>
        <v>0</v>
      </c>
      <c r="J34" s="70">
        <f t="shared" si="5"/>
        <v>0</v>
      </c>
    </row>
    <row r="35" ht="14.25" customHeight="1"/>
    <row r="36" ht="14.25" customHeight="1">
      <c r="B36" s="76" t="s">
        <v>44</v>
      </c>
      <c r="C36" s="77"/>
      <c r="D36" s="67"/>
      <c r="K36" s="76" t="s">
        <v>45</v>
      </c>
      <c r="Q36" s="78"/>
    </row>
    <row r="37" ht="14.25" customHeight="1">
      <c r="B37" s="15" t="s">
        <v>46</v>
      </c>
      <c r="C37" s="16" t="s">
        <v>9</v>
      </c>
      <c r="K37" s="15" t="s">
        <v>46</v>
      </c>
      <c r="L37" s="16" t="s">
        <v>9</v>
      </c>
    </row>
    <row r="38" ht="14.25" customHeight="1"/>
    <row r="39" ht="14.25" customHeight="1">
      <c r="B39" s="79" t="s">
        <v>47</v>
      </c>
      <c r="C39" s="80" t="s">
        <v>35</v>
      </c>
      <c r="D39" s="79" t="s">
        <v>48</v>
      </c>
      <c r="E39" s="79" t="s">
        <v>49</v>
      </c>
      <c r="F39" s="79" t="s">
        <v>50</v>
      </c>
      <c r="K39" s="79" t="s">
        <v>47</v>
      </c>
      <c r="L39" s="80" t="s">
        <v>35</v>
      </c>
      <c r="M39" s="79" t="s">
        <v>48</v>
      </c>
      <c r="N39" s="79" t="s">
        <v>51</v>
      </c>
      <c r="O39" s="81" t="s">
        <v>50</v>
      </c>
    </row>
    <row r="40" ht="14.25" customHeight="1">
      <c r="B40" s="82" t="str">
        <f t="shared" ref="B40:B48" si="8">B22</f>
        <v>Software Developer Junior Nivel 1</v>
      </c>
      <c r="C40" s="83">
        <f t="shared" ref="C40:C48" si="9">F22</f>
        <v>1</v>
      </c>
      <c r="D40" s="84">
        <f t="shared" ref="D40:D48" si="10">C40*180</f>
        <v>180</v>
      </c>
      <c r="E40" s="85">
        <f t="shared" ref="E40:E48" si="11">IF(C$37="Gross Margin",I22*$I$5,IF(C$37="Net Margin",I22*$I$12,"Error"))</f>
        <v>9225804.128</v>
      </c>
      <c r="F40" s="85">
        <f t="shared" ref="F40:F48" si="12">iferror(E40/D40,0)</f>
        <v>51254.46738</v>
      </c>
      <c r="K40" s="82" t="str">
        <f t="shared" ref="K40:M40" si="7">B40</f>
        <v>Software Developer Junior Nivel 1</v>
      </c>
      <c r="L40" s="83">
        <f t="shared" si="7"/>
        <v>1</v>
      </c>
      <c r="M40" s="84">
        <f t="shared" si="7"/>
        <v>180</v>
      </c>
      <c r="N40" s="85">
        <f>E40/'Parámetros'!$L$3</f>
        <v>2598.818064</v>
      </c>
      <c r="O40" s="86">
        <f t="shared" ref="O40:O48" si="14">iferror(N40/M40,0)</f>
        <v>14.43787813</v>
      </c>
    </row>
    <row r="41" ht="14.25" customHeight="1">
      <c r="B41" s="82" t="str">
        <f t="shared" si="8"/>
        <v>Project Analyst Junior</v>
      </c>
      <c r="C41" s="83">
        <f t="shared" si="9"/>
        <v>0.25</v>
      </c>
      <c r="D41" s="84">
        <f t="shared" si="10"/>
        <v>45</v>
      </c>
      <c r="E41" s="85">
        <f t="shared" si="11"/>
        <v>2847019.376</v>
      </c>
      <c r="F41" s="85">
        <f t="shared" si="12"/>
        <v>63267.09724</v>
      </c>
      <c r="K41" s="82" t="str">
        <f t="shared" ref="K41:M41" si="13">B41</f>
        <v>Project Analyst Junior</v>
      </c>
      <c r="L41" s="83">
        <f t="shared" si="13"/>
        <v>0.25</v>
      </c>
      <c r="M41" s="84">
        <f t="shared" si="13"/>
        <v>45</v>
      </c>
      <c r="N41" s="85">
        <f>E41/'Parámetros'!$L$3</f>
        <v>801.977289</v>
      </c>
      <c r="O41" s="86">
        <f t="shared" si="14"/>
        <v>17.82171753</v>
      </c>
    </row>
    <row r="42" ht="14.25" customHeight="1">
      <c r="B42" s="82" t="str">
        <f t="shared" si="8"/>
        <v>Diseñador Junior</v>
      </c>
      <c r="C42" s="83">
        <f t="shared" si="9"/>
        <v>0.2</v>
      </c>
      <c r="D42" s="84">
        <f t="shared" si="10"/>
        <v>36</v>
      </c>
      <c r="E42" s="85">
        <f t="shared" si="11"/>
        <v>2638682.821</v>
      </c>
      <c r="F42" s="85">
        <f t="shared" si="12"/>
        <v>73296.74503</v>
      </c>
      <c r="K42" s="82" t="str">
        <f t="shared" ref="K42:M42" si="15">B42</f>
        <v>Diseñador Junior</v>
      </c>
      <c r="L42" s="83">
        <f t="shared" si="15"/>
        <v>0.2</v>
      </c>
      <c r="M42" s="84">
        <f t="shared" si="15"/>
        <v>36</v>
      </c>
      <c r="N42" s="85">
        <f>E42/'Parámetros'!$L$3</f>
        <v>743.2909355</v>
      </c>
      <c r="O42" s="86">
        <f t="shared" si="14"/>
        <v>20.64697043</v>
      </c>
    </row>
    <row r="43" ht="14.25" customHeight="1" collapsed="1">
      <c r="B43" s="82" t="str">
        <f t="shared" si="8"/>
        <v>QA Engineer Junior</v>
      </c>
      <c r="C43" s="83">
        <f t="shared" si="9"/>
        <v>0.2</v>
      </c>
      <c r="D43" s="84">
        <f t="shared" si="10"/>
        <v>36</v>
      </c>
      <c r="E43" s="85">
        <f t="shared" si="11"/>
        <v>0</v>
      </c>
      <c r="F43" s="85">
        <f t="shared" si="12"/>
        <v>0</v>
      </c>
      <c r="K43" s="82" t="str">
        <f t="shared" ref="K43:M43" si="16">B43</f>
        <v>QA Engineer Junior</v>
      </c>
      <c r="L43" s="83">
        <f t="shared" si="16"/>
        <v>0.2</v>
      </c>
      <c r="M43" s="84">
        <f t="shared" si="16"/>
        <v>36</v>
      </c>
      <c r="N43" s="85">
        <f>E43/'Parámetros'!$L$3</f>
        <v>0</v>
      </c>
      <c r="O43" s="86">
        <f t="shared" si="14"/>
        <v>0</v>
      </c>
    </row>
    <row r="44" ht="14.25" hidden="1" customHeight="1" outlineLevel="1">
      <c r="B44" s="82" t="str">
        <f t="shared" si="8"/>
        <v/>
      </c>
      <c r="C44" s="83" t="str">
        <f t="shared" si="9"/>
        <v/>
      </c>
      <c r="D44" s="84">
        <f t="shared" si="10"/>
        <v>0</v>
      </c>
      <c r="E44" s="85">
        <f t="shared" si="11"/>
        <v>0</v>
      </c>
      <c r="F44" s="85">
        <f t="shared" si="12"/>
        <v>0</v>
      </c>
      <c r="K44" s="82" t="str">
        <f t="shared" ref="K44:M44" si="17">B44</f>
        <v/>
      </c>
      <c r="L44" s="83" t="str">
        <f t="shared" si="17"/>
        <v/>
      </c>
      <c r="M44" s="84">
        <f t="shared" si="17"/>
        <v>0</v>
      </c>
      <c r="N44" s="85">
        <f>E44/'Parámetros'!$L$3</f>
        <v>0</v>
      </c>
      <c r="O44" s="86">
        <f t="shared" si="14"/>
        <v>0</v>
      </c>
    </row>
    <row r="45" ht="14.25" hidden="1" customHeight="1" outlineLevel="1">
      <c r="B45" s="82" t="str">
        <f t="shared" si="8"/>
        <v/>
      </c>
      <c r="C45" s="83" t="str">
        <f t="shared" si="9"/>
        <v/>
      </c>
      <c r="D45" s="84">
        <f t="shared" si="10"/>
        <v>0</v>
      </c>
      <c r="E45" s="85">
        <f t="shared" si="11"/>
        <v>0</v>
      </c>
      <c r="F45" s="85">
        <f t="shared" si="12"/>
        <v>0</v>
      </c>
      <c r="K45" s="82" t="str">
        <f t="shared" ref="K45:M45" si="18">B45</f>
        <v/>
      </c>
      <c r="L45" s="83" t="str">
        <f t="shared" si="18"/>
        <v/>
      </c>
      <c r="M45" s="84">
        <f t="shared" si="18"/>
        <v>0</v>
      </c>
      <c r="N45" s="85">
        <f>E45/'Parámetros'!$L$3</f>
        <v>0</v>
      </c>
      <c r="O45" s="86">
        <f t="shared" si="14"/>
        <v>0</v>
      </c>
    </row>
    <row r="46" ht="14.25" hidden="1" customHeight="1" outlineLevel="1">
      <c r="B46" s="82" t="str">
        <f t="shared" si="8"/>
        <v/>
      </c>
      <c r="C46" s="83" t="str">
        <f t="shared" si="9"/>
        <v/>
      </c>
      <c r="D46" s="84">
        <f t="shared" si="10"/>
        <v>0</v>
      </c>
      <c r="E46" s="85">
        <f t="shared" si="11"/>
        <v>0</v>
      </c>
      <c r="F46" s="85">
        <f t="shared" si="12"/>
        <v>0</v>
      </c>
      <c r="K46" s="82" t="str">
        <f t="shared" ref="K46:M46" si="19">B46</f>
        <v/>
      </c>
      <c r="L46" s="83" t="str">
        <f t="shared" si="19"/>
        <v/>
      </c>
      <c r="M46" s="84">
        <f t="shared" si="19"/>
        <v>0</v>
      </c>
      <c r="N46" s="85">
        <f>E46/'Parámetros'!$L$3</f>
        <v>0</v>
      </c>
      <c r="O46" s="86">
        <f t="shared" si="14"/>
        <v>0</v>
      </c>
    </row>
    <row r="47" ht="14.25" hidden="1" customHeight="1" outlineLevel="1">
      <c r="B47" s="82" t="str">
        <f t="shared" si="8"/>
        <v/>
      </c>
      <c r="C47" s="83" t="str">
        <f t="shared" si="9"/>
        <v/>
      </c>
      <c r="D47" s="84">
        <f t="shared" si="10"/>
        <v>0</v>
      </c>
      <c r="E47" s="85">
        <f t="shared" si="11"/>
        <v>0</v>
      </c>
      <c r="F47" s="85">
        <f t="shared" si="12"/>
        <v>0</v>
      </c>
      <c r="K47" s="82" t="str">
        <f t="shared" ref="K47:M47" si="20">B47</f>
        <v/>
      </c>
      <c r="L47" s="83" t="str">
        <f t="shared" si="20"/>
        <v/>
      </c>
      <c r="M47" s="84">
        <f t="shared" si="20"/>
        <v>0</v>
      </c>
      <c r="N47" s="85">
        <f>E47/'Parámetros'!$L$3</f>
        <v>0</v>
      </c>
      <c r="O47" s="86">
        <f t="shared" si="14"/>
        <v>0</v>
      </c>
    </row>
    <row r="48" ht="14.25" hidden="1" customHeight="1" outlineLevel="1">
      <c r="B48" s="82" t="str">
        <f t="shared" si="8"/>
        <v/>
      </c>
      <c r="C48" s="83" t="str">
        <f t="shared" si="9"/>
        <v/>
      </c>
      <c r="D48" s="84">
        <f t="shared" si="10"/>
        <v>0</v>
      </c>
      <c r="E48" s="85">
        <f t="shared" si="11"/>
        <v>0</v>
      </c>
      <c r="F48" s="85">
        <f t="shared" si="12"/>
        <v>0</v>
      </c>
      <c r="K48" s="82" t="str">
        <f t="shared" ref="K48:M48" si="21">B48</f>
        <v/>
      </c>
      <c r="L48" s="83" t="str">
        <f t="shared" si="21"/>
        <v/>
      </c>
      <c r="M48" s="84">
        <f t="shared" si="21"/>
        <v>0</v>
      </c>
      <c r="N48" s="85">
        <f>E48/'Parámetros'!$L$3</f>
        <v>0</v>
      </c>
      <c r="O48" s="86">
        <f t="shared" si="14"/>
        <v>0</v>
      </c>
    </row>
    <row r="49" ht="14.25" customHeight="1">
      <c r="B49" s="87"/>
      <c r="C49" s="79" t="s">
        <v>52</v>
      </c>
      <c r="D49" s="88">
        <f>SUM(D40:D45)</f>
        <v>297</v>
      </c>
      <c r="E49" s="89">
        <f>SUM(E40:E48)</f>
        <v>14711506.33</v>
      </c>
      <c r="F49" s="89">
        <f>E49/D49</f>
        <v>49533.69133</v>
      </c>
      <c r="K49" s="87"/>
      <c r="L49" s="79" t="s">
        <v>52</v>
      </c>
      <c r="M49" s="88">
        <f t="shared" ref="M49:N49" si="22">SUM(M40:M45)</f>
        <v>297</v>
      </c>
      <c r="N49" s="89">
        <f t="shared" si="22"/>
        <v>4144.086289</v>
      </c>
      <c r="O49" s="89">
        <f>N49/M49</f>
        <v>13.95315249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>
      <c r="L58" s="90"/>
      <c r="M58" s="91"/>
      <c r="N58" s="92"/>
      <c r="O58" s="93"/>
      <c r="P58" s="94"/>
    </row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</sheetData>
  <mergeCells count="7">
    <mergeCell ref="A1:B3"/>
    <mergeCell ref="C1:O3"/>
    <mergeCell ref="G5:G9"/>
    <mergeCell ref="B6:C6"/>
    <mergeCell ref="B7:C7"/>
    <mergeCell ref="G12:G15"/>
    <mergeCell ref="B20:E20"/>
  </mergeCells>
  <dataValidations>
    <dataValidation type="list" allowBlank="1" sqref="C16">
      <formula1>"Nómina,Prestación de Servicios"</formula1>
    </dataValidation>
    <dataValidation type="list" allowBlank="1" sqref="C37 L37">
      <formula1>"Gross Margin,Net Margin"</formula1>
    </dataValidation>
    <dataValidation type="list" allowBlank="1" showErrorMessage="1" sqref="D22:D34">
      <formula1>"Nómina,P. Servicios"</formula1>
    </dataValidation>
    <dataValidation type="list" allowBlank="1" sqref="B22:B34">
      <formula1>'Parámetros'!$A$2:$A$120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0.71"/>
    <col customWidth="1" min="3" max="3" width="21.29"/>
    <col customWidth="1" min="4" max="4" width="14.57"/>
    <col customWidth="1" min="5" max="5" width="17.0"/>
    <col customWidth="1" min="6" max="8" width="14.86"/>
    <col customWidth="1" min="9" max="9" width="3.57"/>
    <col customWidth="1" min="10" max="10" width="26.43"/>
    <col customWidth="1" min="11" max="11" width="13.57"/>
    <col customWidth="1" min="12" max="12" width="9.57"/>
    <col customWidth="1" min="13" max="13" width="23.14"/>
    <col customWidth="1" min="14" max="14" width="17.57"/>
    <col customWidth="1" min="15" max="15" width="15.71"/>
    <col customWidth="1" min="16" max="16" width="18.86"/>
    <col customWidth="1" hidden="1" min="17" max="17" width="13.71"/>
    <col customWidth="1" hidden="1" min="18" max="18" width="13.43"/>
    <col customWidth="1" hidden="1" min="19" max="29" width="10.71"/>
  </cols>
  <sheetData>
    <row r="1" ht="31.5" customHeight="1">
      <c r="B1" s="1" t="s">
        <v>224</v>
      </c>
      <c r="C1" s="2"/>
      <c r="D1" s="3" t="s">
        <v>0</v>
      </c>
      <c r="E1" s="4"/>
      <c r="F1" s="4"/>
      <c r="G1" s="4"/>
      <c r="H1" s="4"/>
      <c r="I1" s="4"/>
      <c r="J1" s="4"/>
      <c r="K1" s="4"/>
      <c r="L1" s="4"/>
      <c r="M1" s="2"/>
      <c r="N1" s="5" t="s">
        <v>1</v>
      </c>
      <c r="O1" s="6" t="s">
        <v>2</v>
      </c>
    </row>
    <row r="2" ht="31.5" customHeight="1">
      <c r="B2" s="7"/>
      <c r="C2" s="8"/>
      <c r="D2" s="7"/>
      <c r="M2" s="8"/>
      <c r="N2" s="9" t="s">
        <v>3</v>
      </c>
      <c r="O2" s="10">
        <v>1.0</v>
      </c>
    </row>
    <row r="3" ht="31.5" customHeight="1">
      <c r="B3" s="11"/>
      <c r="C3" s="12"/>
      <c r="D3" s="11"/>
      <c r="E3" s="13"/>
      <c r="F3" s="13"/>
      <c r="G3" s="13"/>
      <c r="H3" s="13"/>
      <c r="I3" s="13"/>
      <c r="J3" s="13"/>
      <c r="K3" s="13"/>
      <c r="L3" s="13"/>
      <c r="M3" s="12"/>
      <c r="N3" s="9" t="s">
        <v>4</v>
      </c>
      <c r="O3" s="14">
        <v>44171.0</v>
      </c>
    </row>
    <row r="4" ht="14.25" customHeight="1">
      <c r="C4" s="15">
        <v>3600.0</v>
      </c>
    </row>
    <row r="5" ht="14.25" customHeight="1">
      <c r="C5" s="367" t="s">
        <v>225</v>
      </c>
      <c r="D5" s="368"/>
      <c r="E5" s="368"/>
      <c r="F5" s="369"/>
      <c r="G5" s="370">
        <f t="shared" ref="G5:H5" si="1">SUM(G7:G15)</f>
        <v>3.45</v>
      </c>
      <c r="H5" s="371">
        <f t="shared" si="1"/>
        <v>12329705.6</v>
      </c>
      <c r="J5" s="367" t="s">
        <v>56</v>
      </c>
      <c r="K5" s="369"/>
      <c r="M5" s="367" t="s">
        <v>11</v>
      </c>
      <c r="N5" s="369"/>
    </row>
    <row r="6" ht="14.25" customHeight="1">
      <c r="C6" s="372" t="s">
        <v>226</v>
      </c>
      <c r="D6" s="372" t="s">
        <v>53</v>
      </c>
      <c r="E6" s="373" t="s">
        <v>227</v>
      </c>
      <c r="F6" s="373" t="s">
        <v>228</v>
      </c>
      <c r="G6" s="372" t="s">
        <v>229</v>
      </c>
      <c r="H6" s="372" t="s">
        <v>230</v>
      </c>
      <c r="I6" s="67"/>
      <c r="J6" s="374" t="s">
        <v>58</v>
      </c>
      <c r="K6" s="375">
        <v>3980.0</v>
      </c>
      <c r="M6" s="376" t="s">
        <v>14</v>
      </c>
      <c r="N6" s="138">
        <f>H5</f>
        <v>12329705.6</v>
      </c>
    </row>
    <row r="7" ht="14.25" customHeight="1">
      <c r="A7" s="177" t="str">
        <f t="shared" ref="A7:A12" si="2">$N$17*B7</f>
        <v>#REF!</v>
      </c>
      <c r="B7" s="55">
        <f t="shared" ref="B7:B12" si="3">H7/$H$5</f>
        <v>0.0486629624</v>
      </c>
      <c r="C7" s="372" t="s">
        <v>231</v>
      </c>
      <c r="D7" s="377">
        <v>2400000.0</v>
      </c>
      <c r="E7" s="378" t="s">
        <v>166</v>
      </c>
      <c r="F7" s="379">
        <f t="shared" ref="F7:F14" si="4">+IF(E7="Nómina",D7*1.38322,D7)</f>
        <v>2400000</v>
      </c>
      <c r="G7" s="380">
        <v>0.25</v>
      </c>
      <c r="H7" s="379">
        <f t="shared" ref="H7:H14" si="5">F7*G7</f>
        <v>600000</v>
      </c>
      <c r="I7" s="73"/>
      <c r="J7" s="381" t="s">
        <v>232</v>
      </c>
      <c r="K7" s="382">
        <v>0.1</v>
      </c>
      <c r="M7" s="383" t="s">
        <v>233</v>
      </c>
      <c r="N7" s="384">
        <f>+SUM(D17)/$K$11*$G$5</f>
        <v>501915.9651</v>
      </c>
    </row>
    <row r="8" ht="14.25" customHeight="1">
      <c r="A8" s="177" t="str">
        <f t="shared" si="2"/>
        <v>#REF!</v>
      </c>
      <c r="B8" s="55">
        <f t="shared" si="3"/>
        <v>0.2243719428</v>
      </c>
      <c r="C8" s="372" t="s">
        <v>234</v>
      </c>
      <c r="D8" s="377">
        <v>4000000.0</v>
      </c>
      <c r="E8" s="378" t="s">
        <v>41</v>
      </c>
      <c r="F8" s="379">
        <f t="shared" si="4"/>
        <v>5532880</v>
      </c>
      <c r="G8" s="380">
        <v>0.5</v>
      </c>
      <c r="H8" s="379">
        <f t="shared" si="5"/>
        <v>2766440</v>
      </c>
      <c r="I8" s="73"/>
      <c r="J8" s="374" t="s">
        <v>63</v>
      </c>
      <c r="K8" s="385">
        <v>1.0</v>
      </c>
      <c r="M8" s="376" t="s">
        <v>235</v>
      </c>
      <c r="N8" s="138" t="str">
        <f>+SUM(E19:E20)/$K$11*$G$5</f>
        <v>#REF!</v>
      </c>
      <c r="O8" s="55"/>
    </row>
    <row r="9" ht="14.25" customHeight="1">
      <c r="A9" s="177" t="str">
        <f t="shared" si="2"/>
        <v>#REF!</v>
      </c>
      <c r="B9" s="55">
        <f t="shared" si="3"/>
        <v>0.2692463314</v>
      </c>
      <c r="C9" s="372" t="s">
        <v>236</v>
      </c>
      <c r="D9" s="377">
        <v>2400000.0</v>
      </c>
      <c r="E9" s="378" t="s">
        <v>41</v>
      </c>
      <c r="F9" s="379">
        <f t="shared" si="4"/>
        <v>3319728</v>
      </c>
      <c r="G9" s="380">
        <v>1.0</v>
      </c>
      <c r="H9" s="379">
        <f t="shared" si="5"/>
        <v>3319728</v>
      </c>
      <c r="I9" s="73"/>
      <c r="J9" s="374" t="s">
        <v>66</v>
      </c>
      <c r="K9" s="386">
        <f>6.9/1000</f>
        <v>0.0069</v>
      </c>
      <c r="M9" s="381" t="s">
        <v>237</v>
      </c>
      <c r="N9" s="384">
        <f>+SUM(D23:D28)/$K$11*$G$5</f>
        <v>971245.8722</v>
      </c>
    </row>
    <row r="10" ht="14.25" customHeight="1">
      <c r="A10" s="177" t="str">
        <f t="shared" si="2"/>
        <v>#REF!</v>
      </c>
      <c r="B10" s="55">
        <f t="shared" si="3"/>
        <v>0.2692463314</v>
      </c>
      <c r="C10" s="372" t="s">
        <v>238</v>
      </c>
      <c r="D10" s="377">
        <v>2400000.0</v>
      </c>
      <c r="E10" s="378" t="s">
        <v>41</v>
      </c>
      <c r="F10" s="379">
        <f t="shared" si="4"/>
        <v>3319728</v>
      </c>
      <c r="G10" s="380">
        <v>1.0</v>
      </c>
      <c r="H10" s="379">
        <f t="shared" si="5"/>
        <v>3319728</v>
      </c>
      <c r="I10" s="73"/>
      <c r="J10" s="374" t="s">
        <v>71</v>
      </c>
      <c r="K10" s="387">
        <v>0.0</v>
      </c>
      <c r="M10" s="388" t="s">
        <v>239</v>
      </c>
      <c r="N10" s="138">
        <f>+D31/$K$11*$G$5</f>
        <v>179161.214</v>
      </c>
      <c r="O10" s="74"/>
    </row>
    <row r="11" ht="14.25" customHeight="1">
      <c r="A11" s="177" t="str">
        <f t="shared" si="2"/>
        <v>#REF!</v>
      </c>
      <c r="B11" s="55">
        <f t="shared" si="3"/>
        <v>0.02692463314</v>
      </c>
      <c r="C11" s="372" t="s">
        <v>240</v>
      </c>
      <c r="D11" s="377">
        <v>2400000.0</v>
      </c>
      <c r="E11" s="378" t="s">
        <v>41</v>
      </c>
      <c r="F11" s="379">
        <f t="shared" si="4"/>
        <v>3319728</v>
      </c>
      <c r="G11" s="380">
        <v>0.1</v>
      </c>
      <c r="H11" s="379">
        <f t="shared" si="5"/>
        <v>331972.8</v>
      </c>
      <c r="I11" s="73"/>
      <c r="J11" s="389" t="s">
        <v>241</v>
      </c>
      <c r="K11" s="390">
        <v>45.0</v>
      </c>
      <c r="M11" s="391" t="s">
        <v>242</v>
      </c>
      <c r="N11" s="392" t="str">
        <f>SUM(N6:N10)</f>
        <v>#REF!</v>
      </c>
      <c r="O11" s="74"/>
    </row>
    <row r="12" ht="14.25" customHeight="1">
      <c r="A12" s="177" t="str">
        <f t="shared" si="2"/>
        <v>#REF!</v>
      </c>
      <c r="B12" s="55">
        <f t="shared" si="3"/>
        <v>0.05384926628</v>
      </c>
      <c r="C12" s="372" t="s">
        <v>243</v>
      </c>
      <c r="D12" s="375">
        <v>2400000.0</v>
      </c>
      <c r="E12" s="393" t="s">
        <v>41</v>
      </c>
      <c r="F12" s="379">
        <f t="shared" si="4"/>
        <v>3319728</v>
      </c>
      <c r="G12" s="380">
        <v>0.2</v>
      </c>
      <c r="H12" s="379">
        <f t="shared" si="5"/>
        <v>663945.6</v>
      </c>
    </row>
    <row r="13" ht="14.25" customHeight="1">
      <c r="C13" s="372" t="s">
        <v>244</v>
      </c>
      <c r="D13" s="375">
        <v>2400000.0</v>
      </c>
      <c r="E13" s="393" t="s">
        <v>41</v>
      </c>
      <c r="F13" s="379">
        <f t="shared" si="4"/>
        <v>3319728</v>
      </c>
      <c r="G13" s="380">
        <v>0.2</v>
      </c>
      <c r="H13" s="379">
        <f t="shared" si="5"/>
        <v>663945.6</v>
      </c>
    </row>
    <row r="14" ht="14.25" customHeight="1">
      <c r="C14" s="372" t="s">
        <v>244</v>
      </c>
      <c r="D14" s="375">
        <v>2400000.0</v>
      </c>
      <c r="E14" s="393" t="s">
        <v>41</v>
      </c>
      <c r="F14" s="379">
        <f t="shared" si="4"/>
        <v>3319728</v>
      </c>
      <c r="G14" s="380">
        <v>0.2</v>
      </c>
      <c r="H14" s="379">
        <f t="shared" si="5"/>
        <v>663945.6</v>
      </c>
      <c r="M14" s="394" t="s">
        <v>14</v>
      </c>
      <c r="N14" s="395" t="str">
        <f>N11</f>
        <v>#REF!</v>
      </c>
    </row>
    <row r="15" ht="14.25" customHeight="1"/>
    <row r="16" ht="14.25" customHeight="1">
      <c r="C16" s="367" t="s">
        <v>233</v>
      </c>
      <c r="D16" s="369"/>
      <c r="J16" s="396" t="s">
        <v>6</v>
      </c>
      <c r="K16" s="397" t="str">
        <f>N16*K7</f>
        <v>#REF!</v>
      </c>
      <c r="L16" s="398" t="s">
        <v>22</v>
      </c>
      <c r="M16" s="399" t="s">
        <v>245</v>
      </c>
      <c r="N16" s="400" t="str">
        <f>+(N14/(1-K7-K17))</f>
        <v>#REF!</v>
      </c>
    </row>
    <row r="17" ht="14.25" customHeight="1">
      <c r="C17" s="401" t="s">
        <v>246</v>
      </c>
      <c r="D17" s="402">
        <v>6546729.98</v>
      </c>
      <c r="J17" s="396" t="s">
        <v>247</v>
      </c>
      <c r="K17" s="403">
        <v>0.2</v>
      </c>
      <c r="L17" s="404"/>
      <c r="M17" s="405" t="s">
        <v>248</v>
      </c>
      <c r="N17" s="406" t="str">
        <f>+N16/$K$6</f>
        <v>#REF!</v>
      </c>
      <c r="O17" s="78" t="str">
        <f>N17*6</f>
        <v>#REF!</v>
      </c>
    </row>
    <row r="18" ht="14.25" customHeight="1">
      <c r="B18" s="15" t="s">
        <v>133</v>
      </c>
      <c r="C18" s="407" t="s">
        <v>235</v>
      </c>
      <c r="D18" s="408"/>
      <c r="E18" s="408" t="s">
        <v>52</v>
      </c>
      <c r="J18" s="396" t="s">
        <v>249</v>
      </c>
      <c r="K18" s="397" t="str">
        <f>(N16-K16-N14)*K10</f>
        <v>#REF!</v>
      </c>
      <c r="L18" s="404"/>
      <c r="M18" s="15" t="s">
        <v>13</v>
      </c>
      <c r="N18" s="15">
        <v>682.0</v>
      </c>
    </row>
    <row r="19" ht="14.25" customHeight="1">
      <c r="B19" s="15" t="s">
        <v>250</v>
      </c>
      <c r="C19" s="409" t="s">
        <v>246</v>
      </c>
      <c r="D19" s="410"/>
      <c r="E19" s="411" t="str">
        <f t="shared" ref="E19:E20" si="6">Pricing!E18</f>
        <v>#REF!</v>
      </c>
      <c r="J19" s="396" t="s">
        <v>15</v>
      </c>
      <c r="K19" s="397" t="str">
        <f>N16*K9</f>
        <v>#REF!</v>
      </c>
      <c r="L19" s="404"/>
      <c r="M19" s="15" t="s">
        <v>16</v>
      </c>
      <c r="N19" s="78" t="str">
        <f>N17/N18</f>
        <v>#REF!</v>
      </c>
    </row>
    <row r="20" ht="14.25" customHeight="1">
      <c r="C20" s="412" t="s">
        <v>246</v>
      </c>
      <c r="D20" s="412"/>
      <c r="E20" s="412" t="str">
        <f t="shared" si="6"/>
        <v>#REF!</v>
      </c>
      <c r="F20" s="413" t="s">
        <v>251</v>
      </c>
      <c r="G20" s="413"/>
      <c r="H20" s="413"/>
      <c r="J20" s="396" t="s">
        <v>18</v>
      </c>
      <c r="K20" s="414" t="str">
        <f>(N16-N14-K18-K19-K16)/N16</f>
        <v>#REF!</v>
      </c>
      <c r="L20" s="415"/>
    </row>
    <row r="21" ht="14.25" customHeight="1">
      <c r="G21" s="413"/>
      <c r="H21" s="413"/>
    </row>
    <row r="22" ht="14.25" customHeight="1">
      <c r="C22" s="416" t="s">
        <v>237</v>
      </c>
      <c r="D22" s="417"/>
      <c r="L22" s="398" t="s">
        <v>252</v>
      </c>
      <c r="M22" s="418" t="s">
        <v>10</v>
      </c>
      <c r="N22" s="419">
        <f>+K24/$K$6</f>
        <v>4522.613065</v>
      </c>
    </row>
    <row r="23" ht="14.25" customHeight="1">
      <c r="C23" s="420" t="s">
        <v>246</v>
      </c>
      <c r="D23" s="421">
        <v>1.266842442E7</v>
      </c>
      <c r="J23" s="396" t="s">
        <v>6</v>
      </c>
      <c r="K23" s="397">
        <f>K24*K7</f>
        <v>1800000</v>
      </c>
      <c r="L23" s="404"/>
      <c r="M23" s="415"/>
      <c r="N23" s="415"/>
    </row>
    <row r="24" ht="14.25" customHeight="1">
      <c r="C24" s="422"/>
      <c r="D24" s="423"/>
      <c r="J24" s="424" t="s">
        <v>253</v>
      </c>
      <c r="K24" s="425">
        <v>1.8E7</v>
      </c>
      <c r="L24" s="404"/>
      <c r="M24" s="426" t="s">
        <v>254</v>
      </c>
      <c r="N24" s="427">
        <f>K24*K8</f>
        <v>18000000</v>
      </c>
    </row>
    <row r="25" ht="14.25" customHeight="1">
      <c r="C25" s="420"/>
      <c r="D25" s="428"/>
      <c r="J25" s="396"/>
      <c r="K25" s="397"/>
      <c r="L25" s="404"/>
      <c r="M25" s="429"/>
      <c r="N25" s="430"/>
    </row>
    <row r="26" ht="14.25" customHeight="1">
      <c r="C26" s="422"/>
      <c r="D26" s="423"/>
      <c r="J26" s="396" t="s">
        <v>249</v>
      </c>
      <c r="K26" s="397" t="str">
        <f>((1-K7)*K24-N14)*K10</f>
        <v>#REF!</v>
      </c>
      <c r="L26" s="404"/>
      <c r="M26" s="431" t="s">
        <v>247</v>
      </c>
      <c r="N26" s="432" t="str">
        <f>(K24-K23-N14)/K24</f>
        <v>#REF!</v>
      </c>
    </row>
    <row r="27" ht="14.25" customHeight="1">
      <c r="C27" s="433"/>
      <c r="D27" s="434"/>
      <c r="J27" s="396" t="s">
        <v>255</v>
      </c>
      <c r="K27" s="397">
        <f>K24*K9</f>
        <v>124200</v>
      </c>
      <c r="L27" s="415"/>
      <c r="M27" s="415"/>
      <c r="N27" s="415"/>
    </row>
    <row r="28" ht="14.25" customHeight="1">
      <c r="C28" s="422"/>
      <c r="D28" s="423"/>
      <c r="M28" s="435" t="s">
        <v>18</v>
      </c>
      <c r="N28" s="436" t="str">
        <f>(K24-N14-K18-K19-K16)/K24</f>
        <v>#REF!</v>
      </c>
    </row>
    <row r="29" ht="14.25" customHeight="1">
      <c r="N29" s="437"/>
    </row>
    <row r="30" ht="14.25" customHeight="1"/>
    <row r="31" ht="14.25" customHeight="1">
      <c r="C31" s="438" t="s">
        <v>256</v>
      </c>
      <c r="D31" s="439">
        <v>2336885.4</v>
      </c>
    </row>
    <row r="32" ht="14.25" customHeight="1"/>
    <row r="33" ht="14.25" customHeight="1"/>
    <row r="34" ht="14.25" customHeight="1">
      <c r="C34" s="440" t="s">
        <v>47</v>
      </c>
      <c r="D34" s="441" t="s">
        <v>35</v>
      </c>
      <c r="E34" s="440" t="s">
        <v>48</v>
      </c>
      <c r="F34" s="442" t="s">
        <v>187</v>
      </c>
    </row>
    <row r="35" ht="14.25" customHeight="1">
      <c r="C35" s="443" t="s">
        <v>257</v>
      </c>
      <c r="D35" s="444">
        <v>0.25</v>
      </c>
      <c r="E35" s="445">
        <f t="shared" ref="E35:E40" si="7">192*D35</f>
        <v>48</v>
      </c>
      <c r="F35" s="446">
        <v>376.23899094788123</v>
      </c>
    </row>
    <row r="36" ht="14.25" customHeight="1">
      <c r="C36" s="443" t="s">
        <v>258</v>
      </c>
      <c r="D36" s="444">
        <v>0.5</v>
      </c>
      <c r="E36" s="445">
        <f t="shared" si="7"/>
        <v>96</v>
      </c>
      <c r="F36" s="446">
        <v>1254.1299698262706</v>
      </c>
    </row>
    <row r="37" ht="14.25" customHeight="1">
      <c r="C37" s="443" t="s">
        <v>259</v>
      </c>
      <c r="D37" s="444">
        <v>1.0</v>
      </c>
      <c r="E37" s="445">
        <f t="shared" si="7"/>
        <v>192</v>
      </c>
      <c r="F37" s="446">
        <v>1504.955963791525</v>
      </c>
    </row>
    <row r="38" ht="14.25" customHeight="1">
      <c r="C38" s="443" t="s">
        <v>259</v>
      </c>
      <c r="D38" s="444">
        <v>1.0</v>
      </c>
      <c r="E38" s="445">
        <f t="shared" si="7"/>
        <v>192</v>
      </c>
      <c r="F38" s="446">
        <v>1504.955963791525</v>
      </c>
    </row>
    <row r="39" ht="14.25" customHeight="1">
      <c r="C39" s="443" t="s">
        <v>260</v>
      </c>
      <c r="D39" s="444">
        <v>0.1</v>
      </c>
      <c r="E39" s="445">
        <f t="shared" si="7"/>
        <v>19.2</v>
      </c>
      <c r="F39" s="446">
        <v>150.4955963791525</v>
      </c>
    </row>
    <row r="40" ht="14.25" customHeight="1">
      <c r="C40" s="443" t="s">
        <v>261</v>
      </c>
      <c r="D40" s="444">
        <v>0.2</v>
      </c>
      <c r="E40" s="445">
        <f t="shared" si="7"/>
        <v>38.4</v>
      </c>
      <c r="F40" s="446">
        <v>300.991192758305</v>
      </c>
    </row>
    <row r="41" ht="14.25" customHeight="1">
      <c r="C41" s="447"/>
      <c r="D41" s="440" t="s">
        <v>52</v>
      </c>
      <c r="E41" s="448">
        <f t="shared" ref="E41:F41" si="8">SUM(E35:E40)</f>
        <v>585.6</v>
      </c>
      <c r="F41" s="449">
        <f t="shared" si="8"/>
        <v>5091.767677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</sheetData>
  <mergeCells count="14">
    <mergeCell ref="F20:F21"/>
    <mergeCell ref="C22:D22"/>
    <mergeCell ref="L22:L27"/>
    <mergeCell ref="M22:M23"/>
    <mergeCell ref="N22:N23"/>
    <mergeCell ref="M26:M27"/>
    <mergeCell ref="N26:N27"/>
    <mergeCell ref="B1:C3"/>
    <mergeCell ref="D1:M3"/>
    <mergeCell ref="C5:F5"/>
    <mergeCell ref="J5:K5"/>
    <mergeCell ref="M5:N5"/>
    <mergeCell ref="C16:D16"/>
    <mergeCell ref="L16:L20"/>
  </mergeCells>
  <conditionalFormatting sqref="N25:N27">
    <cfRule type="cellIs" dxfId="12" priority="1" operator="greaterThan">
      <formula>0.301</formula>
    </cfRule>
  </conditionalFormatting>
  <conditionalFormatting sqref="N25:N27">
    <cfRule type="cellIs" dxfId="13" priority="2" operator="between">
      <formula>0.211</formula>
      <formula>0.3</formula>
    </cfRule>
  </conditionalFormatting>
  <conditionalFormatting sqref="N25:N27">
    <cfRule type="cellIs" dxfId="14" priority="3" operator="lessThan">
      <formula>0.21</formula>
    </cfRule>
  </conditionalFormatting>
  <dataValidations>
    <dataValidation type="list" allowBlank="1" sqref="C7:C14">
      <formula1>"PM Jr,PM Sr,Diseñador Jr,Diseñador S Sr.,Diseñador Sr.,Desarrollador Jr,Desarrollador S Sr.,Desarrollador Sr."</formula1>
    </dataValidation>
    <dataValidation type="list" allowBlank="1" showErrorMessage="1" sqref="E7:E14">
      <formula1>"Nómina,P. Servicios"</formula1>
    </dataValidation>
  </dataValidations>
  <printOptions/>
  <pageMargins bottom="0.75" footer="0.0" header="0.0" left="0.7" right="0.7" top="0.75"/>
  <pageSetup orientation="portrait"/>
  <drawing r:id="rId1"/>
  <tableParts count="3">
    <tablePart r:id="rId5"/>
    <tablePart r:id="rId6"/>
    <tablePart r:id="rId7"/>
  </tableParts>
</worksheet>
</file>